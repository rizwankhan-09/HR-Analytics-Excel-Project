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zwan khan\Downloads\HR-Analytics-Excel-Project\Data\"/>
    </mc:Choice>
  </mc:AlternateContent>
  <xr:revisionPtr revIDLastSave="0" documentId="13_ncr:1_{490A7103-9F4E-4DA1-83CB-AF0AC225323E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Raw_Data" sheetId="1" r:id="rId1"/>
    <sheet name="Reference" sheetId="2" r:id="rId2"/>
    <sheet name="Data_Dictionary" sheetId="3" r:id="rId3"/>
    <sheet name="Public_Use_Notes" sheetId="4" r:id="rId4"/>
    <sheet name="Clean_Data" sheetId="7" r:id="rId5"/>
    <sheet name="Final_Clean_Data" sheetId="9" r:id="rId6"/>
    <sheet name="Analysis" sheetId="8" r:id="rId7"/>
  </sheets>
  <definedNames>
    <definedName name="_xlnm._FilterDatabase" localSheetId="2" hidden="1">Data_Dictionary!$A$1:$B$20</definedName>
    <definedName name="_xlnm._FilterDatabase" localSheetId="3" hidden="1">Public_Use_Notes!$A$1:$A$7</definedName>
    <definedName name="_xlnm._FilterDatabase" localSheetId="0" hidden="1">Raw_Data!$A$1:$S$503</definedName>
    <definedName name="_xlnm._FilterDatabase" localSheetId="1" hidden="1">Reference!$A$1:$B$5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7" l="1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B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Z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Y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AD252" i="7" s="1"/>
  <c r="Y253" i="7"/>
  <c r="AD253" i="7" s="1"/>
  <c r="Y254" i="7"/>
  <c r="AD254" i="7" s="1"/>
  <c r="Y255" i="7"/>
  <c r="AD255" i="7" s="1"/>
  <c r="Y256" i="7"/>
  <c r="AD256" i="7" s="1"/>
  <c r="Y257" i="7"/>
  <c r="AD257" i="7" s="1"/>
  <c r="Y258" i="7"/>
  <c r="AD258" i="7" s="1"/>
  <c r="Y259" i="7"/>
  <c r="AD259" i="7" s="1"/>
  <c r="Y260" i="7"/>
  <c r="AD260" i="7" s="1"/>
  <c r="Y261" i="7"/>
  <c r="AD261" i="7" s="1"/>
  <c r="Y262" i="7"/>
  <c r="AD262" i="7" s="1"/>
  <c r="Y263" i="7"/>
  <c r="AD263" i="7" s="1"/>
  <c r="Y264" i="7"/>
  <c r="AD264" i="7" s="1"/>
  <c r="Y265" i="7"/>
  <c r="AD265" i="7" s="1"/>
  <c r="Y266" i="7"/>
  <c r="AD266" i="7" s="1"/>
  <c r="Y267" i="7"/>
  <c r="AD267" i="7" s="1"/>
  <c r="Y268" i="7"/>
  <c r="AD268" i="7" s="1"/>
  <c r="Y269" i="7"/>
  <c r="AD269" i="7" s="1"/>
  <c r="Y270" i="7"/>
  <c r="AD270" i="7" s="1"/>
  <c r="Y271" i="7"/>
  <c r="AD271" i="7" s="1"/>
  <c r="Y272" i="7"/>
  <c r="AD272" i="7" s="1"/>
  <c r="Y273" i="7"/>
  <c r="AD273" i="7" s="1"/>
  <c r="Y274" i="7"/>
  <c r="AD274" i="7" s="1"/>
  <c r="Y275" i="7"/>
  <c r="AD275" i="7" s="1"/>
  <c r="Y276" i="7"/>
  <c r="AD276" i="7" s="1"/>
  <c r="Y277" i="7"/>
  <c r="AD277" i="7" s="1"/>
  <c r="Y278" i="7"/>
  <c r="AD278" i="7" s="1"/>
  <c r="Y279" i="7"/>
  <c r="AD279" i="7" s="1"/>
  <c r="Y280" i="7"/>
  <c r="AD280" i="7" s="1"/>
  <c r="Y281" i="7"/>
  <c r="AD281" i="7" s="1"/>
  <c r="Y282" i="7"/>
  <c r="AD282" i="7" s="1"/>
  <c r="Y283" i="7"/>
  <c r="AD283" i="7" s="1"/>
  <c r="Y284" i="7"/>
  <c r="AD284" i="7" s="1"/>
  <c r="Y285" i="7"/>
  <c r="AD285" i="7" s="1"/>
  <c r="Y286" i="7"/>
  <c r="AD286" i="7" s="1"/>
  <c r="Y287" i="7"/>
  <c r="AD287" i="7" s="1"/>
  <c r="Y288" i="7"/>
  <c r="AD288" i="7" s="1"/>
  <c r="Y289" i="7"/>
  <c r="AD289" i="7" s="1"/>
  <c r="Y290" i="7"/>
  <c r="AD290" i="7" s="1"/>
  <c r="Y291" i="7"/>
  <c r="AD291" i="7" s="1"/>
  <c r="Y292" i="7"/>
  <c r="AD292" i="7" s="1"/>
  <c r="Y293" i="7"/>
  <c r="AD293" i="7" s="1"/>
  <c r="Y294" i="7"/>
  <c r="AD294" i="7" s="1"/>
  <c r="Y295" i="7"/>
  <c r="AD295" i="7" s="1"/>
  <c r="Y296" i="7"/>
  <c r="AD296" i="7" s="1"/>
  <c r="Y297" i="7"/>
  <c r="AD297" i="7" s="1"/>
  <c r="Y298" i="7"/>
  <c r="AD298" i="7" s="1"/>
  <c r="Y299" i="7"/>
  <c r="AD299" i="7" s="1"/>
  <c r="Y300" i="7"/>
  <c r="AD300" i="7" s="1"/>
  <c r="Y301" i="7"/>
  <c r="AD301" i="7" s="1"/>
  <c r="Y302" i="7"/>
  <c r="AD302" i="7" s="1"/>
  <c r="Y303" i="7"/>
  <c r="AD303" i="7" s="1"/>
  <c r="Y304" i="7"/>
  <c r="AD304" i="7" s="1"/>
  <c r="Y305" i="7"/>
  <c r="AD305" i="7" s="1"/>
  <c r="Y306" i="7"/>
  <c r="AD306" i="7" s="1"/>
  <c r="Y307" i="7"/>
  <c r="AD307" i="7" s="1"/>
  <c r="Y308" i="7"/>
  <c r="AD308" i="7" s="1"/>
  <c r="Y309" i="7"/>
  <c r="AD309" i="7" s="1"/>
  <c r="Y310" i="7"/>
  <c r="AD310" i="7" s="1"/>
  <c r="Y311" i="7"/>
  <c r="AD311" i="7" s="1"/>
  <c r="Y312" i="7"/>
  <c r="AD312" i="7" s="1"/>
  <c r="Y313" i="7"/>
  <c r="AD313" i="7" s="1"/>
  <c r="Y314" i="7"/>
  <c r="AD314" i="7" s="1"/>
  <c r="Y315" i="7"/>
  <c r="AD315" i="7" s="1"/>
  <c r="Y316" i="7"/>
  <c r="AD316" i="7" s="1"/>
  <c r="Y317" i="7"/>
  <c r="AD317" i="7" s="1"/>
  <c r="Y318" i="7"/>
  <c r="AD318" i="7" s="1"/>
  <c r="Y319" i="7"/>
  <c r="AD319" i="7" s="1"/>
  <c r="Y320" i="7"/>
  <c r="AD320" i="7" s="1"/>
  <c r="Y321" i="7"/>
  <c r="AD321" i="7" s="1"/>
  <c r="Y322" i="7"/>
  <c r="AD322" i="7" s="1"/>
  <c r="Y323" i="7"/>
  <c r="AD323" i="7" s="1"/>
  <c r="Y324" i="7"/>
  <c r="AD324" i="7" s="1"/>
  <c r="Y325" i="7"/>
  <c r="AD325" i="7" s="1"/>
  <c r="Y326" i="7"/>
  <c r="AD326" i="7" s="1"/>
  <c r="Y327" i="7"/>
  <c r="AD327" i="7" s="1"/>
  <c r="Y328" i="7"/>
  <c r="AD328" i="7" s="1"/>
  <c r="Y329" i="7"/>
  <c r="AD329" i="7" s="1"/>
  <c r="Y330" i="7"/>
  <c r="AD330" i="7" s="1"/>
  <c r="Y331" i="7"/>
  <c r="AD331" i="7" s="1"/>
  <c r="Y332" i="7"/>
  <c r="AD332" i="7" s="1"/>
  <c r="Y333" i="7"/>
  <c r="AD333" i="7" s="1"/>
  <c r="Y334" i="7"/>
  <c r="AD334" i="7" s="1"/>
  <c r="Y335" i="7"/>
  <c r="AD335" i="7" s="1"/>
  <c r="Y336" i="7"/>
  <c r="AD336" i="7" s="1"/>
  <c r="Y337" i="7"/>
  <c r="AD337" i="7" s="1"/>
  <c r="Y338" i="7"/>
  <c r="AD338" i="7" s="1"/>
  <c r="Y339" i="7"/>
  <c r="AD339" i="7" s="1"/>
  <c r="Y340" i="7"/>
  <c r="AD340" i="7" s="1"/>
  <c r="Y341" i="7"/>
  <c r="AD341" i="7" s="1"/>
  <c r="Y342" i="7"/>
  <c r="AD342" i="7" s="1"/>
  <c r="Y343" i="7"/>
  <c r="AD343" i="7" s="1"/>
  <c r="Y344" i="7"/>
  <c r="AD344" i="7" s="1"/>
  <c r="Y345" i="7"/>
  <c r="AD345" i="7" s="1"/>
  <c r="Y346" i="7"/>
  <c r="AD346" i="7" s="1"/>
  <c r="Y347" i="7"/>
  <c r="AD347" i="7" s="1"/>
  <c r="Y348" i="7"/>
  <c r="AD348" i="7" s="1"/>
  <c r="Y349" i="7"/>
  <c r="AD349" i="7" s="1"/>
  <c r="Y350" i="7"/>
  <c r="AD350" i="7" s="1"/>
  <c r="Y351" i="7"/>
  <c r="AD351" i="7" s="1"/>
  <c r="Y352" i="7"/>
  <c r="AD352" i="7" s="1"/>
  <c r="Y353" i="7"/>
  <c r="AD353" i="7" s="1"/>
  <c r="Y354" i="7"/>
  <c r="AD354" i="7" s="1"/>
  <c r="Y355" i="7"/>
  <c r="AD355" i="7" s="1"/>
  <c r="Y356" i="7"/>
  <c r="AD356" i="7" s="1"/>
  <c r="Y357" i="7"/>
  <c r="AD357" i="7" s="1"/>
  <c r="Y358" i="7"/>
  <c r="AD358" i="7" s="1"/>
  <c r="Y359" i="7"/>
  <c r="AD359" i="7" s="1"/>
  <c r="Y360" i="7"/>
  <c r="AD360" i="7" s="1"/>
  <c r="Y361" i="7"/>
  <c r="AD361" i="7" s="1"/>
  <c r="Y362" i="7"/>
  <c r="AD362" i="7" s="1"/>
  <c r="Y363" i="7"/>
  <c r="AD363" i="7" s="1"/>
  <c r="Y364" i="7"/>
  <c r="AD364" i="7" s="1"/>
  <c r="Y365" i="7"/>
  <c r="AD365" i="7" s="1"/>
  <c r="Y366" i="7"/>
  <c r="AD366" i="7" s="1"/>
  <c r="Y367" i="7"/>
  <c r="AD367" i="7" s="1"/>
  <c r="Y368" i="7"/>
  <c r="AD368" i="7" s="1"/>
  <c r="Y369" i="7"/>
  <c r="AD369" i="7" s="1"/>
  <c r="Y370" i="7"/>
  <c r="AD370" i="7" s="1"/>
  <c r="Y371" i="7"/>
  <c r="AD371" i="7" s="1"/>
  <c r="Y372" i="7"/>
  <c r="AD372" i="7" s="1"/>
  <c r="Y373" i="7"/>
  <c r="AD373" i="7" s="1"/>
  <c r="Y374" i="7"/>
  <c r="AD374" i="7" s="1"/>
  <c r="Y375" i="7"/>
  <c r="AD375" i="7" s="1"/>
  <c r="Y376" i="7"/>
  <c r="AD376" i="7" s="1"/>
  <c r="Y377" i="7"/>
  <c r="AD377" i="7" s="1"/>
  <c r="Y378" i="7"/>
  <c r="AD378" i="7" s="1"/>
  <c r="Y379" i="7"/>
  <c r="AD379" i="7" s="1"/>
  <c r="Y380" i="7"/>
  <c r="AD380" i="7" s="1"/>
  <c r="Y381" i="7"/>
  <c r="AD381" i="7" s="1"/>
  <c r="Y382" i="7"/>
  <c r="AD382" i="7" s="1"/>
  <c r="Y383" i="7"/>
  <c r="AD383" i="7" s="1"/>
  <c r="Y384" i="7"/>
  <c r="AD384" i="7" s="1"/>
  <c r="Y385" i="7"/>
  <c r="AD385" i="7" s="1"/>
  <c r="Y386" i="7"/>
  <c r="AD386" i="7" s="1"/>
  <c r="Y387" i="7"/>
  <c r="AD387" i="7" s="1"/>
  <c r="Y388" i="7"/>
  <c r="AD388" i="7" s="1"/>
  <c r="Y389" i="7"/>
  <c r="AD389" i="7" s="1"/>
  <c r="Y390" i="7"/>
  <c r="AD390" i="7" s="1"/>
  <c r="Y391" i="7"/>
  <c r="AD391" i="7" s="1"/>
  <c r="Y392" i="7"/>
  <c r="AD392" i="7" s="1"/>
  <c r="Y393" i="7"/>
  <c r="AD393" i="7" s="1"/>
  <c r="Y394" i="7"/>
  <c r="AD394" i="7" s="1"/>
  <c r="Y395" i="7"/>
  <c r="AD395" i="7" s="1"/>
  <c r="Y396" i="7"/>
  <c r="AD396" i="7" s="1"/>
  <c r="Y397" i="7"/>
  <c r="AD397" i="7" s="1"/>
  <c r="Y398" i="7"/>
  <c r="AD398" i="7" s="1"/>
  <c r="Y399" i="7"/>
  <c r="AD399" i="7" s="1"/>
  <c r="Y400" i="7"/>
  <c r="AD400" i="7" s="1"/>
  <c r="Y401" i="7"/>
  <c r="AD401" i="7" s="1"/>
  <c r="Y402" i="7"/>
  <c r="AD402" i="7" s="1"/>
  <c r="Y403" i="7"/>
  <c r="AD403" i="7" s="1"/>
  <c r="Y404" i="7"/>
  <c r="AD404" i="7" s="1"/>
  <c r="Y405" i="7"/>
  <c r="AD405" i="7" s="1"/>
  <c r="Y406" i="7"/>
  <c r="AD406" i="7" s="1"/>
  <c r="Y407" i="7"/>
  <c r="AD407" i="7" s="1"/>
  <c r="Y408" i="7"/>
  <c r="AD408" i="7" s="1"/>
  <c r="Y409" i="7"/>
  <c r="AD409" i="7" s="1"/>
  <c r="Y410" i="7"/>
  <c r="AD410" i="7" s="1"/>
  <c r="Y411" i="7"/>
  <c r="AD411" i="7" s="1"/>
  <c r="Y412" i="7"/>
  <c r="AD412" i="7" s="1"/>
  <c r="Y413" i="7"/>
  <c r="AD413" i="7" s="1"/>
  <c r="Y414" i="7"/>
  <c r="AD414" i="7" s="1"/>
  <c r="Y415" i="7"/>
  <c r="AD415" i="7" s="1"/>
  <c r="Y416" i="7"/>
  <c r="AD416" i="7" s="1"/>
  <c r="Y417" i="7"/>
  <c r="AD417" i="7" s="1"/>
  <c r="Y418" i="7"/>
  <c r="AD418" i="7" s="1"/>
  <c r="Y419" i="7"/>
  <c r="AD419" i="7" s="1"/>
  <c r="Y420" i="7"/>
  <c r="AD420" i="7" s="1"/>
  <c r="Y421" i="7"/>
  <c r="AD421" i="7" s="1"/>
  <c r="Y422" i="7"/>
  <c r="AD422" i="7" s="1"/>
  <c r="Y423" i="7"/>
  <c r="AD423" i="7" s="1"/>
  <c r="Y424" i="7"/>
  <c r="AD424" i="7" s="1"/>
  <c r="Y425" i="7"/>
  <c r="AD425" i="7" s="1"/>
  <c r="Y426" i="7"/>
  <c r="AD426" i="7" s="1"/>
  <c r="Y427" i="7"/>
  <c r="AD427" i="7" s="1"/>
  <c r="Y428" i="7"/>
  <c r="AD428" i="7" s="1"/>
  <c r="Y429" i="7"/>
  <c r="AD429" i="7" s="1"/>
  <c r="Y430" i="7"/>
  <c r="AD430" i="7" s="1"/>
  <c r="Y431" i="7"/>
  <c r="AD431" i="7" s="1"/>
  <c r="Y432" i="7"/>
  <c r="AD432" i="7" s="1"/>
  <c r="Y433" i="7"/>
  <c r="AD433" i="7" s="1"/>
  <c r="Y434" i="7"/>
  <c r="AD434" i="7" s="1"/>
  <c r="Y435" i="7"/>
  <c r="AD435" i="7" s="1"/>
  <c r="Y436" i="7"/>
  <c r="AD436" i="7" s="1"/>
  <c r="Y437" i="7"/>
  <c r="AD437" i="7" s="1"/>
  <c r="Y438" i="7"/>
  <c r="AD438" i="7" s="1"/>
  <c r="Y439" i="7"/>
  <c r="AD439" i="7" s="1"/>
  <c r="Y440" i="7"/>
  <c r="AD440" i="7" s="1"/>
  <c r="Y441" i="7"/>
  <c r="AD441" i="7" s="1"/>
  <c r="Y442" i="7"/>
  <c r="AD442" i="7" s="1"/>
  <c r="Y443" i="7"/>
  <c r="AD443" i="7" s="1"/>
  <c r="Y444" i="7"/>
  <c r="AD444" i="7" s="1"/>
  <c r="Y445" i="7"/>
  <c r="AD445" i="7" s="1"/>
  <c r="Y446" i="7"/>
  <c r="AD446" i="7" s="1"/>
  <c r="Y447" i="7"/>
  <c r="AD447" i="7" s="1"/>
  <c r="Y448" i="7"/>
  <c r="AD448" i="7" s="1"/>
  <c r="Y449" i="7"/>
  <c r="AD449" i="7" s="1"/>
  <c r="Y450" i="7"/>
  <c r="AD450" i="7" s="1"/>
  <c r="Y451" i="7"/>
  <c r="AD451" i="7" s="1"/>
  <c r="Y452" i="7"/>
  <c r="AD452" i="7" s="1"/>
  <c r="Y453" i="7"/>
  <c r="AD453" i="7" s="1"/>
  <c r="Y454" i="7"/>
  <c r="AD454" i="7" s="1"/>
  <c r="Y455" i="7"/>
  <c r="AD455" i="7" s="1"/>
  <c r="Y456" i="7"/>
  <c r="AD456" i="7" s="1"/>
  <c r="Y457" i="7"/>
  <c r="AD457" i="7" s="1"/>
  <c r="Y458" i="7"/>
  <c r="AD458" i="7" s="1"/>
  <c r="Y459" i="7"/>
  <c r="AD459" i="7" s="1"/>
  <c r="Y460" i="7"/>
  <c r="AD460" i="7" s="1"/>
  <c r="Y461" i="7"/>
  <c r="AD461" i="7" s="1"/>
  <c r="Y462" i="7"/>
  <c r="AD462" i="7" s="1"/>
  <c r="Y463" i="7"/>
  <c r="AD463" i="7" s="1"/>
  <c r="Y464" i="7"/>
  <c r="AD464" i="7" s="1"/>
  <c r="Y465" i="7"/>
  <c r="AD465" i="7" s="1"/>
  <c r="Y466" i="7"/>
  <c r="AD466" i="7" s="1"/>
  <c r="Y467" i="7"/>
  <c r="AD467" i="7" s="1"/>
  <c r="Y468" i="7"/>
  <c r="AD468" i="7" s="1"/>
  <c r="Y469" i="7"/>
  <c r="AD469" i="7" s="1"/>
  <c r="Y470" i="7"/>
  <c r="AD470" i="7" s="1"/>
  <c r="Y471" i="7"/>
  <c r="AD471" i="7" s="1"/>
  <c r="Y472" i="7"/>
  <c r="AD472" i="7" s="1"/>
  <c r="Y473" i="7"/>
  <c r="AD473" i="7" s="1"/>
  <c r="Y474" i="7"/>
  <c r="AD474" i="7" s="1"/>
  <c r="Y475" i="7"/>
  <c r="AD475" i="7" s="1"/>
  <c r="Y476" i="7"/>
  <c r="AD476" i="7" s="1"/>
  <c r="Y477" i="7"/>
  <c r="AD477" i="7" s="1"/>
  <c r="Y478" i="7"/>
  <c r="AD478" i="7" s="1"/>
  <c r="Y479" i="7"/>
  <c r="AD479" i="7" s="1"/>
  <c r="Y480" i="7"/>
  <c r="AD480" i="7" s="1"/>
  <c r="Y481" i="7"/>
  <c r="AD481" i="7" s="1"/>
  <c r="Y482" i="7"/>
  <c r="AD482" i="7" s="1"/>
  <c r="Y483" i="7"/>
  <c r="AD483" i="7" s="1"/>
  <c r="Y484" i="7"/>
  <c r="AD484" i="7" s="1"/>
  <c r="Y485" i="7"/>
  <c r="AD485" i="7" s="1"/>
  <c r="Y486" i="7"/>
  <c r="AD486" i="7" s="1"/>
  <c r="Y487" i="7"/>
  <c r="AD487" i="7" s="1"/>
  <c r="Y488" i="7"/>
  <c r="AD488" i="7" s="1"/>
  <c r="Y489" i="7"/>
  <c r="AD489" i="7" s="1"/>
  <c r="Y490" i="7"/>
  <c r="AD490" i="7" s="1"/>
  <c r="Y491" i="7"/>
  <c r="AD491" i="7" s="1"/>
  <c r="Y492" i="7"/>
  <c r="AD492" i="7" s="1"/>
  <c r="Y493" i="7"/>
  <c r="AD493" i="7" s="1"/>
  <c r="Y494" i="7"/>
  <c r="AD494" i="7" s="1"/>
  <c r="Y495" i="7"/>
  <c r="AD495" i="7" s="1"/>
  <c r="Y496" i="7"/>
  <c r="AD496" i="7" s="1"/>
  <c r="Y497" i="7"/>
  <c r="AD497" i="7" s="1"/>
  <c r="Y498" i="7"/>
  <c r="AD498" i="7" s="1"/>
  <c r="Y499" i="7"/>
  <c r="AD499" i="7" s="1"/>
  <c r="Y500" i="7"/>
  <c r="AD500" i="7" s="1"/>
  <c r="Y501" i="7"/>
  <c r="AD501" i="7" s="1"/>
  <c r="Y502" i="7"/>
  <c r="AD502" i="7" s="1"/>
  <c r="Y503" i="7"/>
  <c r="AD503" i="7" s="1"/>
  <c r="X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U3" i="7"/>
  <c r="U2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T3" i="7"/>
  <c r="T2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AD2" i="7" l="1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C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93" i="7"/>
  <c r="AC494" i="7"/>
  <c r="AC495" i="7"/>
  <c r="AC496" i="7"/>
  <c r="AC497" i="7"/>
  <c r="AC498" i="7"/>
  <c r="AC499" i="7"/>
  <c r="AC500" i="7"/>
  <c r="AC501" i="7"/>
  <c r="AC502" i="7"/>
  <c r="AC503" i="7"/>
</calcChain>
</file>

<file path=xl/sharedStrings.xml><?xml version="1.0" encoding="utf-8"?>
<sst xmlns="http://schemas.openxmlformats.org/spreadsheetml/2006/main" count="18112" uniqueCount="1106">
  <si>
    <t>Employee_ID</t>
  </si>
  <si>
    <t>Employee_Name</t>
  </si>
  <si>
    <t>Gender</t>
  </si>
  <si>
    <t>Age</t>
  </si>
  <si>
    <t>Education</t>
  </si>
  <si>
    <t>Department</t>
  </si>
  <si>
    <t>Job_Type</t>
  </si>
  <si>
    <t>Location</t>
  </si>
  <si>
    <t>Experience_Years</t>
  </si>
  <si>
    <t>Salary</t>
  </si>
  <si>
    <t>Performance_Rating</t>
  </si>
  <si>
    <t>Job_Satisfaction</t>
  </si>
  <si>
    <t>Training_Hours</t>
  </si>
  <si>
    <t>Projects_Completed</t>
  </si>
  <si>
    <t>Remote_Eligible</t>
  </si>
  <si>
    <t>Overtime</t>
  </si>
  <si>
    <t>Manager_Rating</t>
  </si>
  <si>
    <t>Promoted</t>
  </si>
  <si>
    <t>Attrition</t>
  </si>
  <si>
    <t>SYN_EMP_0001</t>
  </si>
  <si>
    <t>Employee_0001</t>
  </si>
  <si>
    <t>Female</t>
  </si>
  <si>
    <t>Diploma</t>
  </si>
  <si>
    <t>Finance</t>
  </si>
  <si>
    <t>Full-Time</t>
  </si>
  <si>
    <t>Hyderabad</t>
  </si>
  <si>
    <t>Average</t>
  </si>
  <si>
    <t>No</t>
  </si>
  <si>
    <t>Yes</t>
  </si>
  <si>
    <t>SYN_EMP_0002</t>
  </si>
  <si>
    <t>Employee_0002</t>
  </si>
  <si>
    <t>Male</t>
  </si>
  <si>
    <t>12th</t>
  </si>
  <si>
    <t>Sales</t>
  </si>
  <si>
    <t>Gurgaon</t>
  </si>
  <si>
    <t>Excellent</t>
  </si>
  <si>
    <t>SYN_EMP_0003</t>
  </si>
  <si>
    <t>Employee_0003</t>
  </si>
  <si>
    <t>Post Graduate</t>
  </si>
  <si>
    <t>Operations</t>
  </si>
  <si>
    <t>Needs Improvement</t>
  </si>
  <si>
    <t>SYN_EMP_0004</t>
  </si>
  <si>
    <t>Employee_0004</t>
  </si>
  <si>
    <t>IT</t>
  </si>
  <si>
    <t>Contract</t>
  </si>
  <si>
    <t>Good</t>
  </si>
  <si>
    <t>SYN_EMP_0005</t>
  </si>
  <si>
    <t>Employee_0005</t>
  </si>
  <si>
    <t>Customer Support</t>
  </si>
  <si>
    <t>Delhi</t>
  </si>
  <si>
    <t>SYN_EMP_0006</t>
  </si>
  <si>
    <t>Employee_0006</t>
  </si>
  <si>
    <t>Mumbai</t>
  </si>
  <si>
    <t>SYN_EMP_0007</t>
  </si>
  <si>
    <t>Employee_0007</t>
  </si>
  <si>
    <t>Graduate</t>
  </si>
  <si>
    <t>SYN_EMP_0008</t>
  </si>
  <si>
    <t>Employee_0008</t>
  </si>
  <si>
    <t>SYN_EMP_0009</t>
  </si>
  <si>
    <t>Employee_0009</t>
  </si>
  <si>
    <t>HR</t>
  </si>
  <si>
    <t>Noida</t>
  </si>
  <si>
    <t>SYN_EMP_0010</t>
  </si>
  <si>
    <t>Employee_0010</t>
  </si>
  <si>
    <t>Marketing</t>
  </si>
  <si>
    <t>SYN_EMP_0011</t>
  </si>
  <si>
    <t>Employee_0011</t>
  </si>
  <si>
    <t>SYN_EMP_0012</t>
  </si>
  <si>
    <t>Employee_0012</t>
  </si>
  <si>
    <t>Part-Time</t>
  </si>
  <si>
    <t>Bangalore</t>
  </si>
  <si>
    <t>SYN_EMP_0013</t>
  </si>
  <si>
    <t>Employee_0013</t>
  </si>
  <si>
    <t>SYN_EMP_0014</t>
  </si>
  <si>
    <t>Employee_0014</t>
  </si>
  <si>
    <t>SYN_EMP_0015</t>
  </si>
  <si>
    <t>Employee_0015</t>
  </si>
  <si>
    <t>SYN_EMP_0016</t>
  </si>
  <si>
    <t>Employee_0016</t>
  </si>
  <si>
    <t>SYN_EMP_0017</t>
  </si>
  <si>
    <t>Employee_0017</t>
  </si>
  <si>
    <t>SYN_EMP_0018</t>
  </si>
  <si>
    <t>Employee_0018</t>
  </si>
  <si>
    <t>SYN_EMP_0019</t>
  </si>
  <si>
    <t>Employee_0019</t>
  </si>
  <si>
    <t>SYN_EMP_0020</t>
  </si>
  <si>
    <t>Employee_0020</t>
  </si>
  <si>
    <t>SYN_EMP_0021</t>
  </si>
  <si>
    <t>Employee_0021</t>
  </si>
  <si>
    <t>SYN_EMP_0022</t>
  </si>
  <si>
    <t>Employee_0022</t>
  </si>
  <si>
    <t>SYN_EMP_0023</t>
  </si>
  <si>
    <t>Employee_0023</t>
  </si>
  <si>
    <t>SYN_EMP_0024</t>
  </si>
  <si>
    <t>Employee_0024</t>
  </si>
  <si>
    <t>SYN_EMP_0025</t>
  </si>
  <si>
    <t>Employee_0025</t>
  </si>
  <si>
    <t>SYN_EMP_0026</t>
  </si>
  <si>
    <t>Employee_0026</t>
  </si>
  <si>
    <t>SYN_EMP_0027</t>
  </si>
  <si>
    <t>Employee_0027</t>
  </si>
  <si>
    <t>SYN_EMP_0028</t>
  </si>
  <si>
    <t>Employee_0028</t>
  </si>
  <si>
    <t>SYN_EMP_0029</t>
  </si>
  <si>
    <t>Employee_0029</t>
  </si>
  <si>
    <t>SYN_EMP_0030</t>
  </si>
  <si>
    <t>Employee_0030</t>
  </si>
  <si>
    <t>SYN_EMP_0031</t>
  </si>
  <si>
    <t>Employee_0031</t>
  </si>
  <si>
    <t>SYN_EMP_0032</t>
  </si>
  <si>
    <t>Employee_0032</t>
  </si>
  <si>
    <t>SYN_EMP_0033</t>
  </si>
  <si>
    <t>Employee_0033</t>
  </si>
  <si>
    <t>SYN_EMP_0034</t>
  </si>
  <si>
    <t>Employee_0034</t>
  </si>
  <si>
    <t>SYN_EMP_0035</t>
  </si>
  <si>
    <t>Employee_0035</t>
  </si>
  <si>
    <t>SYN_EMP_0036</t>
  </si>
  <si>
    <t>Employee_0036</t>
  </si>
  <si>
    <t>SYN_EMP_0037</t>
  </si>
  <si>
    <t>Employee_0037</t>
  </si>
  <si>
    <t>SYN_EMP_0038</t>
  </si>
  <si>
    <t>Employee_0038</t>
  </si>
  <si>
    <t>SYN_EMP_0039</t>
  </si>
  <si>
    <t>Employee_0039</t>
  </si>
  <si>
    <t>SYN_EMP_0040</t>
  </si>
  <si>
    <t>Employee_0040</t>
  </si>
  <si>
    <t>SYN_EMP_0041</t>
  </si>
  <si>
    <t>Employee_0041</t>
  </si>
  <si>
    <t>SYN_EMP_0042</t>
  </si>
  <si>
    <t>Employee_0042</t>
  </si>
  <si>
    <t>Pune</t>
  </si>
  <si>
    <t>SYN_EMP_0043</t>
  </si>
  <si>
    <t>Employee_0043</t>
  </si>
  <si>
    <t>SYN_EMP_0044</t>
  </si>
  <si>
    <t>Employee_0044</t>
  </si>
  <si>
    <t>SYN_EMP_0045</t>
  </si>
  <si>
    <t>Employee_0045</t>
  </si>
  <si>
    <t>SYN_EMP_0046</t>
  </si>
  <si>
    <t>Employee_0046</t>
  </si>
  <si>
    <t>SYN_EMP_0047</t>
  </si>
  <si>
    <t>Employee_0047</t>
  </si>
  <si>
    <t>SYN_EMP_0048</t>
  </si>
  <si>
    <t>Employee_0048</t>
  </si>
  <si>
    <t>SYN_EMP_0049</t>
  </si>
  <si>
    <t>Employee_0049</t>
  </si>
  <si>
    <t>SYN_EMP_0050</t>
  </si>
  <si>
    <t>Employee_0050</t>
  </si>
  <si>
    <t>SYN_EMP_0051</t>
  </si>
  <si>
    <t>Employee_0051</t>
  </si>
  <si>
    <t>SYN_EMP_0052</t>
  </si>
  <si>
    <t>Employee_0052</t>
  </si>
  <si>
    <t>SYN_EMP_0053</t>
  </si>
  <si>
    <t>Employee_0053</t>
  </si>
  <si>
    <t>SYN_EMP_0054</t>
  </si>
  <si>
    <t>Employee_0054</t>
  </si>
  <si>
    <t>SYN_EMP_0055</t>
  </si>
  <si>
    <t>Employee_0055</t>
  </si>
  <si>
    <t>SYN_EMP_0056</t>
  </si>
  <si>
    <t>Employee_0056</t>
  </si>
  <si>
    <t>SYN_EMP_0057</t>
  </si>
  <si>
    <t>Employee_0057</t>
  </si>
  <si>
    <t>SYN_EMP_0058</t>
  </si>
  <si>
    <t>Employee_0058</t>
  </si>
  <si>
    <t>SYN_EMP_0059</t>
  </si>
  <si>
    <t>Employee_0059</t>
  </si>
  <si>
    <t>SYN_EMP_0060</t>
  </si>
  <si>
    <t>Employee_0060</t>
  </si>
  <si>
    <t>SYN_EMP_0061</t>
  </si>
  <si>
    <t>Employee_0061</t>
  </si>
  <si>
    <t>SYN_EMP_0062</t>
  </si>
  <si>
    <t>Employee_0062</t>
  </si>
  <si>
    <t>SYN_EMP_0063</t>
  </si>
  <si>
    <t>Employee_0063</t>
  </si>
  <si>
    <t>SYN_EMP_0064</t>
  </si>
  <si>
    <t>Employee_0064</t>
  </si>
  <si>
    <t>SYN_EMP_0065</t>
  </si>
  <si>
    <t>Employee_0065</t>
  </si>
  <si>
    <t>SYN_EMP_0066</t>
  </si>
  <si>
    <t>Employee_0066</t>
  </si>
  <si>
    <t>SYN_EMP_0067</t>
  </si>
  <si>
    <t>Employee_0067</t>
  </si>
  <si>
    <t>SYN_EMP_0068</t>
  </si>
  <si>
    <t>Employee_0068</t>
  </si>
  <si>
    <t>SYN_EMP_0069</t>
  </si>
  <si>
    <t>Employee_0069</t>
  </si>
  <si>
    <t>SYN_EMP_0070</t>
  </si>
  <si>
    <t>Employee_0070</t>
  </si>
  <si>
    <t>SYN_EMP_0071</t>
  </si>
  <si>
    <t>Employee_0071</t>
  </si>
  <si>
    <t>SYN_EMP_0072</t>
  </si>
  <si>
    <t>Employee_0072</t>
  </si>
  <si>
    <t>SYN_EMP_0073</t>
  </si>
  <si>
    <t>Employee_0073</t>
  </si>
  <si>
    <t>SYN_EMP_0074</t>
  </si>
  <si>
    <t>Employee_0074</t>
  </si>
  <si>
    <t>SYN_EMP_0075</t>
  </si>
  <si>
    <t>Employee_0075</t>
  </si>
  <si>
    <t>SYN_EMP_0076</t>
  </si>
  <si>
    <t>Employee_0076</t>
  </si>
  <si>
    <t>SYN_EMP_0077</t>
  </si>
  <si>
    <t>Employee_0077</t>
  </si>
  <si>
    <t>SYN_EMP_0078</t>
  </si>
  <si>
    <t>Employee_0078</t>
  </si>
  <si>
    <t>SYN_EMP_0079</t>
  </si>
  <si>
    <t>Employee_0079</t>
  </si>
  <si>
    <t>SYN_EMP_0080</t>
  </si>
  <si>
    <t>Employee_0080</t>
  </si>
  <si>
    <t>SYN_EMP_0081</t>
  </si>
  <si>
    <t>Employee_0081</t>
  </si>
  <si>
    <t>SYN_EMP_0082</t>
  </si>
  <si>
    <t>Employee_0082</t>
  </si>
  <si>
    <t>SYN_EMP_0083</t>
  </si>
  <si>
    <t>Employee_0083</t>
  </si>
  <si>
    <t>SYN_EMP_0084</t>
  </si>
  <si>
    <t>Employee_0084</t>
  </si>
  <si>
    <t>SYN_EMP_0085</t>
  </si>
  <si>
    <t>Employee_0085</t>
  </si>
  <si>
    <t>SYN_EMP_0086</t>
  </si>
  <si>
    <t>Employee_0086</t>
  </si>
  <si>
    <t>SYN_EMP_0087</t>
  </si>
  <si>
    <t>Employee_0087</t>
  </si>
  <si>
    <t>SYN_EMP_0088</t>
  </si>
  <si>
    <t>Employee_0088</t>
  </si>
  <si>
    <t>SYN_EMP_0089</t>
  </si>
  <si>
    <t>Employee_0089</t>
  </si>
  <si>
    <t>SYN_EMP_0090</t>
  </si>
  <si>
    <t>Employee_0090</t>
  </si>
  <si>
    <t>SYN_EMP_0091</t>
  </si>
  <si>
    <t>Employee_0091</t>
  </si>
  <si>
    <t>SYN_EMP_0092</t>
  </si>
  <si>
    <t>Employee_0092</t>
  </si>
  <si>
    <t>SYN_EMP_0093</t>
  </si>
  <si>
    <t>Employee_0093</t>
  </si>
  <si>
    <t>SYN_EMP_0094</t>
  </si>
  <si>
    <t>Employee_0094</t>
  </si>
  <si>
    <t>SYN_EMP_0095</t>
  </si>
  <si>
    <t>Employee_0095</t>
  </si>
  <si>
    <t>SYN_EMP_0096</t>
  </si>
  <si>
    <t>Employee_0096</t>
  </si>
  <si>
    <t>SYN_EMP_0097</t>
  </si>
  <si>
    <t>Employee_0097</t>
  </si>
  <si>
    <t>SYN_EMP_0098</t>
  </si>
  <si>
    <t>Employee_0098</t>
  </si>
  <si>
    <t>SYN_EMP_0099</t>
  </si>
  <si>
    <t>Employee_0099</t>
  </si>
  <si>
    <t>SYN_EMP_0100</t>
  </si>
  <si>
    <t>Employee_0100</t>
  </si>
  <si>
    <t>SYN_EMP_0101</t>
  </si>
  <si>
    <t>Employee_0101</t>
  </si>
  <si>
    <t>male</t>
  </si>
  <si>
    <t>SYN_EMP_0102</t>
  </si>
  <si>
    <t>Employee_0102</t>
  </si>
  <si>
    <t>SYN_EMP_0103</t>
  </si>
  <si>
    <t>Employee_0103</t>
  </si>
  <si>
    <t>SYN_EMP_0104</t>
  </si>
  <si>
    <t>Employee_0104</t>
  </si>
  <si>
    <t>SYN_EMP_0105</t>
  </si>
  <si>
    <t>Employee_0105</t>
  </si>
  <si>
    <t>SYN_EMP_0106</t>
  </si>
  <si>
    <t>Employee_0106</t>
  </si>
  <si>
    <t>SYN_EMP_0107</t>
  </si>
  <si>
    <t>Employee_0107</t>
  </si>
  <si>
    <t>SYN_EMP_0108</t>
  </si>
  <si>
    <t>Employee_0108</t>
  </si>
  <si>
    <t>SYN_EMP_0109</t>
  </si>
  <si>
    <t>Employee_0109</t>
  </si>
  <si>
    <t>SYN_EMP_0110</t>
  </si>
  <si>
    <t>Employee_0110</t>
  </si>
  <si>
    <t>SYN_EMP_0111</t>
  </si>
  <si>
    <t>Employee_0111</t>
  </si>
  <si>
    <t>SYN_EMP_0112</t>
  </si>
  <si>
    <t>Employee_0112</t>
  </si>
  <si>
    <t>SYN_EMP_0113</t>
  </si>
  <si>
    <t>Employee_0113</t>
  </si>
  <si>
    <t>SYN_EMP_0114</t>
  </si>
  <si>
    <t>Employee_0114</t>
  </si>
  <si>
    <t>SYN_EMP_0115</t>
  </si>
  <si>
    <t>Employee_0115</t>
  </si>
  <si>
    <t>SYN_EMP_0116</t>
  </si>
  <si>
    <t>Employee_0116</t>
  </si>
  <si>
    <t>SYN_EMP_0117</t>
  </si>
  <si>
    <t>Employee_0117</t>
  </si>
  <si>
    <t>SYN_EMP_0118</t>
  </si>
  <si>
    <t>Employee_0118</t>
  </si>
  <si>
    <t>SYN_EMP_0119</t>
  </si>
  <si>
    <t>Employee_0119</t>
  </si>
  <si>
    <t>SYN_EMP_0120</t>
  </si>
  <si>
    <t>Employee_0120</t>
  </si>
  <si>
    <t>SYN_EMP_0121</t>
  </si>
  <si>
    <t>Employee_0121</t>
  </si>
  <si>
    <t>SYN_EMP_0122</t>
  </si>
  <si>
    <t>Employee_0122</t>
  </si>
  <si>
    <t>SYN_EMP_0123</t>
  </si>
  <si>
    <t>Employee_0123</t>
  </si>
  <si>
    <t>SYN_EMP_0124</t>
  </si>
  <si>
    <t>Employee_0124</t>
  </si>
  <si>
    <t>SYN_EMP_0125</t>
  </si>
  <si>
    <t>Employee_0125</t>
  </si>
  <si>
    <t>SYN_EMP_0126</t>
  </si>
  <si>
    <t>Employee_0126</t>
  </si>
  <si>
    <t>SYN_EMP_0127</t>
  </si>
  <si>
    <t>Employee_0127</t>
  </si>
  <si>
    <t>SYN_EMP_0128</t>
  </si>
  <si>
    <t>Employee_0128</t>
  </si>
  <si>
    <t>SYN_EMP_0129</t>
  </si>
  <si>
    <t>Employee_0129</t>
  </si>
  <si>
    <t>SYN_EMP_0130</t>
  </si>
  <si>
    <t>Employee_0130</t>
  </si>
  <si>
    <t>SYN_EMP_0131</t>
  </si>
  <si>
    <t>Employee_0131</t>
  </si>
  <si>
    <t>SYN_EMP_0132</t>
  </si>
  <si>
    <t>Employee_0132</t>
  </si>
  <si>
    <t>SYN_EMP_0133</t>
  </si>
  <si>
    <t>Employee_0133</t>
  </si>
  <si>
    <t>SYN_EMP_0134</t>
  </si>
  <si>
    <t>Employee_0134</t>
  </si>
  <si>
    <t>SYN_EMP_0135</t>
  </si>
  <si>
    <t>Employee_0135</t>
  </si>
  <si>
    <t>SYN_EMP_0136</t>
  </si>
  <si>
    <t>Employee_0136</t>
  </si>
  <si>
    <t>SYN_EMP_0137</t>
  </si>
  <si>
    <t>Employee_0137</t>
  </si>
  <si>
    <t>SYN_EMP_0138</t>
  </si>
  <si>
    <t>Employee_0138</t>
  </si>
  <si>
    <t>SYN_EMP_0139</t>
  </si>
  <si>
    <t>Employee_0139</t>
  </si>
  <si>
    <t>SYN_EMP_0140</t>
  </si>
  <si>
    <t>Employee_0140</t>
  </si>
  <si>
    <t>SYN_EMP_0141</t>
  </si>
  <si>
    <t>Employee_0141</t>
  </si>
  <si>
    <t>SYN_EMP_0142</t>
  </si>
  <si>
    <t>Employee_0142</t>
  </si>
  <si>
    <t>SYN_EMP_0143</t>
  </si>
  <si>
    <t>Employee_0143</t>
  </si>
  <si>
    <t>SYN_EMP_0144</t>
  </si>
  <si>
    <t>Employee_0144</t>
  </si>
  <si>
    <t>SYN_EMP_0145</t>
  </si>
  <si>
    <t>Employee_0145</t>
  </si>
  <si>
    <t>SYN_EMP_0146</t>
  </si>
  <si>
    <t>Employee_0146</t>
  </si>
  <si>
    <t>SYN_EMP_0147</t>
  </si>
  <si>
    <t>Employee_0147</t>
  </si>
  <si>
    <t>SYN_EMP_0148</t>
  </si>
  <si>
    <t>Employee_0148</t>
  </si>
  <si>
    <t>SYN_EMP_0149</t>
  </si>
  <si>
    <t>Employee_0149</t>
  </si>
  <si>
    <t>SYN_EMP_0150</t>
  </si>
  <si>
    <t>Employee_0150</t>
  </si>
  <si>
    <t>SYN_EMP_0151</t>
  </si>
  <si>
    <t>Employee_0151</t>
  </si>
  <si>
    <t xml:space="preserve"> it </t>
  </si>
  <si>
    <t>SYN_EMP_0152</t>
  </si>
  <si>
    <t>Employee_0152</t>
  </si>
  <si>
    <t>SYN_EMP_0153</t>
  </si>
  <si>
    <t>Employee_0153</t>
  </si>
  <si>
    <t>SYN_EMP_0154</t>
  </si>
  <si>
    <t>Employee_0154</t>
  </si>
  <si>
    <t>SYN_EMP_0155</t>
  </si>
  <si>
    <t>Employee_0155</t>
  </si>
  <si>
    <t>SYN_EMP_0156</t>
  </si>
  <si>
    <t>Employee_0156</t>
  </si>
  <si>
    <t>SYN_EMP_0157</t>
  </si>
  <si>
    <t>Employee_0157</t>
  </si>
  <si>
    <t>SYN_EMP_0158</t>
  </si>
  <si>
    <t>Employee_0158</t>
  </si>
  <si>
    <t>SYN_EMP_0159</t>
  </si>
  <si>
    <t>Employee_0159</t>
  </si>
  <si>
    <t>SYN_EMP_0160</t>
  </si>
  <si>
    <t>Employee_0160</t>
  </si>
  <si>
    <t>SYN_EMP_0161</t>
  </si>
  <si>
    <t>Employee_0161</t>
  </si>
  <si>
    <t>SYN_EMP_0162</t>
  </si>
  <si>
    <t>Employee_0162</t>
  </si>
  <si>
    <t>SYN_EMP_0163</t>
  </si>
  <si>
    <t>Employee_0163</t>
  </si>
  <si>
    <t>SYN_EMP_0164</t>
  </si>
  <si>
    <t>Employee_0164</t>
  </si>
  <si>
    <t>SYN_EMP_0165</t>
  </si>
  <si>
    <t>Employee_0165</t>
  </si>
  <si>
    <t>SYN_EMP_0166</t>
  </si>
  <si>
    <t>Employee_0166</t>
  </si>
  <si>
    <t>SYN_EMP_0167</t>
  </si>
  <si>
    <t>Employee_0167</t>
  </si>
  <si>
    <t>SYN_EMP_0168</t>
  </si>
  <si>
    <t>Employee_0168</t>
  </si>
  <si>
    <t>SYN_EMP_0169</t>
  </si>
  <si>
    <t>Employee_0169</t>
  </si>
  <si>
    <t>SYN_EMP_0170</t>
  </si>
  <si>
    <t>Employee_0170</t>
  </si>
  <si>
    <t>SYN_EMP_0171</t>
  </si>
  <si>
    <t>Employee_0171</t>
  </si>
  <si>
    <t>SYN_EMP_0172</t>
  </si>
  <si>
    <t>Employee_0172</t>
  </si>
  <si>
    <t>SYN_EMP_0173</t>
  </si>
  <si>
    <t>Employee_0173</t>
  </si>
  <si>
    <t>SYN_EMP_0174</t>
  </si>
  <si>
    <t>Employee_0174</t>
  </si>
  <si>
    <t>SYN_EMP_0175</t>
  </si>
  <si>
    <t>Employee_0175</t>
  </si>
  <si>
    <t>SYN_EMP_0176</t>
  </si>
  <si>
    <t>Employee_0176</t>
  </si>
  <si>
    <t>SYN_EMP_0177</t>
  </si>
  <si>
    <t>Employee_0177</t>
  </si>
  <si>
    <t>SYN_EMP_0178</t>
  </si>
  <si>
    <t>Employee_0178</t>
  </si>
  <si>
    <t>SYN_EMP_0179</t>
  </si>
  <si>
    <t>Employee_0179</t>
  </si>
  <si>
    <t>SYN_EMP_0180</t>
  </si>
  <si>
    <t>Employee_0180</t>
  </si>
  <si>
    <t>SYN_EMP_0181</t>
  </si>
  <si>
    <t>Employee_0181</t>
  </si>
  <si>
    <t>SYN_EMP_0182</t>
  </si>
  <si>
    <t>Employee_0182</t>
  </si>
  <si>
    <t>SYN_EMP_0183</t>
  </si>
  <si>
    <t>Employee_0183</t>
  </si>
  <si>
    <t>SYN_EMP_0184</t>
  </si>
  <si>
    <t>Employee_0184</t>
  </si>
  <si>
    <t>SYN_EMP_0185</t>
  </si>
  <si>
    <t>Employee_0185</t>
  </si>
  <si>
    <t>SYN_EMP_0186</t>
  </si>
  <si>
    <t>Employee_0186</t>
  </si>
  <si>
    <t>SYN_EMP_0187</t>
  </si>
  <si>
    <t>Employee_0187</t>
  </si>
  <si>
    <t>SYN_EMP_0188</t>
  </si>
  <si>
    <t>Employee_0188</t>
  </si>
  <si>
    <t>SYN_EMP_0189</t>
  </si>
  <si>
    <t>Employee_0189</t>
  </si>
  <si>
    <t>SYN_EMP_0190</t>
  </si>
  <si>
    <t>Employee_0190</t>
  </si>
  <si>
    <t>SYN_EMP_0191</t>
  </si>
  <si>
    <t>Employee_0191</t>
  </si>
  <si>
    <t>SYN_EMP_0192</t>
  </si>
  <si>
    <t>Employee_0192</t>
  </si>
  <si>
    <t>SYN_EMP_0193</t>
  </si>
  <si>
    <t>Employee_0193</t>
  </si>
  <si>
    <t>SYN_EMP_0194</t>
  </si>
  <si>
    <t>Employee_0194</t>
  </si>
  <si>
    <t>SYN_EMP_0195</t>
  </si>
  <si>
    <t>Employee_0195</t>
  </si>
  <si>
    <t>SYN_EMP_0196</t>
  </si>
  <si>
    <t>Employee_0196</t>
  </si>
  <si>
    <t>SYN_EMP_0197</t>
  </si>
  <si>
    <t>Employee_0197</t>
  </si>
  <si>
    <t>SYN_EMP_0198</t>
  </si>
  <si>
    <t>Employee_0198</t>
  </si>
  <si>
    <t>SYN_EMP_0199</t>
  </si>
  <si>
    <t>Employee_0199</t>
  </si>
  <si>
    <t>SYN_EMP_0200</t>
  </si>
  <si>
    <t>Employee_0200</t>
  </si>
  <si>
    <t>SYN_EMP_0201</t>
  </si>
  <si>
    <t>Employee_0201</t>
  </si>
  <si>
    <t>SYN_EMP_0202</t>
  </si>
  <si>
    <t>Employee_0202</t>
  </si>
  <si>
    <t>FEMALE</t>
  </si>
  <si>
    <t>SYN_EMP_0203</t>
  </si>
  <si>
    <t>Employee_0203</t>
  </si>
  <si>
    <t>SYN_EMP_0204</t>
  </si>
  <si>
    <t>Employee_0204</t>
  </si>
  <si>
    <t>SYN_EMP_0205</t>
  </si>
  <si>
    <t>Employee_0205</t>
  </si>
  <si>
    <t>SYN_EMP_0206</t>
  </si>
  <si>
    <t>Employee_0206</t>
  </si>
  <si>
    <t>SYN_EMP_0207</t>
  </si>
  <si>
    <t>Employee_0207</t>
  </si>
  <si>
    <t>SYN_EMP_0208</t>
  </si>
  <si>
    <t>Employee_0208</t>
  </si>
  <si>
    <t>SYN_EMP_0209</t>
  </si>
  <si>
    <t>Employee_0209</t>
  </si>
  <si>
    <t>SYN_EMP_0210</t>
  </si>
  <si>
    <t>Employee_0210</t>
  </si>
  <si>
    <t>SYN_EMP_0211</t>
  </si>
  <si>
    <t>Employee_0211</t>
  </si>
  <si>
    <t>SYN_EMP_0212</t>
  </si>
  <si>
    <t>Employee_0212</t>
  </si>
  <si>
    <t>SYN_EMP_0213</t>
  </si>
  <si>
    <t>Employee_0213</t>
  </si>
  <si>
    <t>SYN_EMP_0214</t>
  </si>
  <si>
    <t>Employee_0214</t>
  </si>
  <si>
    <t>SYN_EMP_0215</t>
  </si>
  <si>
    <t>Employee_0215</t>
  </si>
  <si>
    <t>SYN_EMP_0216</t>
  </si>
  <si>
    <t>Employee_0216</t>
  </si>
  <si>
    <t>SYN_EMP_0217</t>
  </si>
  <si>
    <t>Employee_0217</t>
  </si>
  <si>
    <t>SYN_EMP_0218</t>
  </si>
  <si>
    <t>Employee_0218</t>
  </si>
  <si>
    <t>SYN_EMP_0219</t>
  </si>
  <si>
    <t>Employee_0219</t>
  </si>
  <si>
    <t>SYN_EMP_0220</t>
  </si>
  <si>
    <t>Employee_0220</t>
  </si>
  <si>
    <t>SYN_EMP_0221</t>
  </si>
  <si>
    <t>Employee_0221</t>
  </si>
  <si>
    <t>SYN_EMP_0222</t>
  </si>
  <si>
    <t>Employee_0222</t>
  </si>
  <si>
    <t>SYN_EMP_0223</t>
  </si>
  <si>
    <t>Employee_0223</t>
  </si>
  <si>
    <t>SYN_EMP_0224</t>
  </si>
  <si>
    <t>Employee_0224</t>
  </si>
  <si>
    <t>SYN_EMP_0225</t>
  </si>
  <si>
    <t>Employee_0225</t>
  </si>
  <si>
    <t>SYN_EMP_0226</t>
  </si>
  <si>
    <t>Employee_0226</t>
  </si>
  <si>
    <t>SYN_EMP_0227</t>
  </si>
  <si>
    <t>Employee_0227</t>
  </si>
  <si>
    <t>SYN_EMP_0228</t>
  </si>
  <si>
    <t>Employee_0228</t>
  </si>
  <si>
    <t>SYN_EMP_0229</t>
  </si>
  <si>
    <t>Employee_0229</t>
  </si>
  <si>
    <t>SYN_EMP_0230</t>
  </si>
  <si>
    <t>Employee_0230</t>
  </si>
  <si>
    <t>SYN_EMP_0231</t>
  </si>
  <si>
    <t>Employee_0231</t>
  </si>
  <si>
    <t>SYN_EMP_0232</t>
  </si>
  <si>
    <t>Employee_0232</t>
  </si>
  <si>
    <t>SYN_EMP_0233</t>
  </si>
  <si>
    <t>Employee_0233</t>
  </si>
  <si>
    <t>SYN_EMP_0234</t>
  </si>
  <si>
    <t>Employee_0234</t>
  </si>
  <si>
    <t>SYN_EMP_0235</t>
  </si>
  <si>
    <t>Employee_0235</t>
  </si>
  <si>
    <t>SYN_EMP_0236</t>
  </si>
  <si>
    <t>Employee_0236</t>
  </si>
  <si>
    <t>SYN_EMP_0237</t>
  </si>
  <si>
    <t>Employee_0237</t>
  </si>
  <si>
    <t>SYN_EMP_0238</t>
  </si>
  <si>
    <t>Employee_0238</t>
  </si>
  <si>
    <t>SYN_EMP_0239</t>
  </si>
  <si>
    <t>Employee_0239</t>
  </si>
  <si>
    <t>SYN_EMP_0240</t>
  </si>
  <si>
    <t>Employee_0240</t>
  </si>
  <si>
    <t>SYN_EMP_0241</t>
  </si>
  <si>
    <t>Employee_0241</t>
  </si>
  <si>
    <t>SYN_EMP_0242</t>
  </si>
  <si>
    <t>Employee_0242</t>
  </si>
  <si>
    <t>SYN_EMP_0243</t>
  </si>
  <si>
    <t>Employee_0243</t>
  </si>
  <si>
    <t>SYN_EMP_0244</t>
  </si>
  <si>
    <t>Employee_0244</t>
  </si>
  <si>
    <t>SYN_EMP_0245</t>
  </si>
  <si>
    <t>Employee_0245</t>
  </si>
  <si>
    <t>SYN_EMP_0246</t>
  </si>
  <si>
    <t>Employee_0246</t>
  </si>
  <si>
    <t>SYN_EMP_0247</t>
  </si>
  <si>
    <t>Employee_0247</t>
  </si>
  <si>
    <t>SYN_EMP_0248</t>
  </si>
  <si>
    <t>Employee_0248</t>
  </si>
  <si>
    <t>SYN_EMP_0249</t>
  </si>
  <si>
    <t>Employee_0249</t>
  </si>
  <si>
    <t>SYN_EMP_0250</t>
  </si>
  <si>
    <t>Employee_0250</t>
  </si>
  <si>
    <t>SYN_EMP_0251</t>
  </si>
  <si>
    <t>Employee_0251</t>
  </si>
  <si>
    <t>SYN_EMP_0252</t>
  </si>
  <si>
    <t>Employee_0252</t>
  </si>
  <si>
    <t>SYN_EMP_0253</t>
  </si>
  <si>
    <t>Employee_0253</t>
  </si>
  <si>
    <t>SYN_EMP_0254</t>
  </si>
  <si>
    <t>Employee_0254</t>
  </si>
  <si>
    <t>SYN_EMP_0255</t>
  </si>
  <si>
    <t>Employee_0255</t>
  </si>
  <si>
    <t>SYN_EMP_0256</t>
  </si>
  <si>
    <t>Employee_0256</t>
  </si>
  <si>
    <t>SYN_EMP_0257</t>
  </si>
  <si>
    <t>Employee_0257</t>
  </si>
  <si>
    <t>SYN_EMP_0258</t>
  </si>
  <si>
    <t>Employee_0258</t>
  </si>
  <si>
    <t>SYN_EMP_0259</t>
  </si>
  <si>
    <t>Employee_0259</t>
  </si>
  <si>
    <t>SYN_EMP_0260</t>
  </si>
  <si>
    <t>Employee_0260</t>
  </si>
  <si>
    <t>SYN_EMP_0261</t>
  </si>
  <si>
    <t>Employee_0261</t>
  </si>
  <si>
    <t xml:space="preserve">HR </t>
  </si>
  <si>
    <t>SYN_EMP_0262</t>
  </si>
  <si>
    <t>Employee_0262</t>
  </si>
  <si>
    <t>SYN_EMP_0263</t>
  </si>
  <si>
    <t>Employee_0263</t>
  </si>
  <si>
    <t>SYN_EMP_0264</t>
  </si>
  <si>
    <t>Employee_0264</t>
  </si>
  <si>
    <t>SYN_EMP_0265</t>
  </si>
  <si>
    <t>Employee_0265</t>
  </si>
  <si>
    <t>SYN_EMP_0266</t>
  </si>
  <si>
    <t>Employee_0266</t>
  </si>
  <si>
    <t>SYN_EMP_0267</t>
  </si>
  <si>
    <t>Employee_0267</t>
  </si>
  <si>
    <t>SYN_EMP_0268</t>
  </si>
  <si>
    <t>Employee_0268</t>
  </si>
  <si>
    <t>SYN_EMP_0269</t>
  </si>
  <si>
    <t>Employee_0269</t>
  </si>
  <si>
    <t>SYN_EMP_0270</t>
  </si>
  <si>
    <t>Employee_0270</t>
  </si>
  <si>
    <t>SYN_EMP_0271</t>
  </si>
  <si>
    <t>Employee_0271</t>
  </si>
  <si>
    <t>SYN_EMP_0272</t>
  </si>
  <si>
    <t>Employee_0272</t>
  </si>
  <si>
    <t>SYN_EMP_0273</t>
  </si>
  <si>
    <t>Employee_0273</t>
  </si>
  <si>
    <t>SYN_EMP_0274</t>
  </si>
  <si>
    <t>Employee_0274</t>
  </si>
  <si>
    <t>SYN_EMP_0275</t>
  </si>
  <si>
    <t>Employee_0275</t>
  </si>
  <si>
    <t>SYN_EMP_0276</t>
  </si>
  <si>
    <t>Employee_0276</t>
  </si>
  <si>
    <t>SYN_EMP_0277</t>
  </si>
  <si>
    <t>Employee_0277</t>
  </si>
  <si>
    <t>SYN_EMP_0278</t>
  </si>
  <si>
    <t>Employee_0278</t>
  </si>
  <si>
    <t>SYN_EMP_0279</t>
  </si>
  <si>
    <t>Employee_0279</t>
  </si>
  <si>
    <t>SYN_EMP_0280</t>
  </si>
  <si>
    <t>Employee_0280</t>
  </si>
  <si>
    <t>SYN_EMP_0281</t>
  </si>
  <si>
    <t>Employee_0281</t>
  </si>
  <si>
    <t>SYN_EMP_0282</t>
  </si>
  <si>
    <t>Employee_0282</t>
  </si>
  <si>
    <t>SYN_EMP_0283</t>
  </si>
  <si>
    <t>Employee_0283</t>
  </si>
  <si>
    <t>SYN_EMP_0284</t>
  </si>
  <si>
    <t>Employee_0284</t>
  </si>
  <si>
    <t>SYN_EMP_0285</t>
  </si>
  <si>
    <t>Employee_0285</t>
  </si>
  <si>
    <t>SYN_EMP_0286</t>
  </si>
  <si>
    <t>Employee_0286</t>
  </si>
  <si>
    <t>SYN_EMP_0287</t>
  </si>
  <si>
    <t>Employee_0287</t>
  </si>
  <si>
    <t>SYN_EMP_0288</t>
  </si>
  <si>
    <t>Employee_0288</t>
  </si>
  <si>
    <t>SYN_EMP_0289</t>
  </si>
  <si>
    <t>Employee_0289</t>
  </si>
  <si>
    <t>SYN_EMP_0290</t>
  </si>
  <si>
    <t>Employee_0290</t>
  </si>
  <si>
    <t>SYN_EMP_0291</t>
  </si>
  <si>
    <t>Employee_0291</t>
  </si>
  <si>
    <t>SYN_EMP_0292</t>
  </si>
  <si>
    <t>Employee_0292</t>
  </si>
  <si>
    <t>SYN_EMP_0293</t>
  </si>
  <si>
    <t>Employee_0293</t>
  </si>
  <si>
    <t>SYN_EMP_0294</t>
  </si>
  <si>
    <t>Employee_0294</t>
  </si>
  <si>
    <t>SYN_EMP_0295</t>
  </si>
  <si>
    <t>Employee_0295</t>
  </si>
  <si>
    <t>SYN_EMP_0296</t>
  </si>
  <si>
    <t>Employee_0296</t>
  </si>
  <si>
    <t>SYN_EMP_0297</t>
  </si>
  <si>
    <t>Employee_0297</t>
  </si>
  <si>
    <t>SYN_EMP_0298</t>
  </si>
  <si>
    <t>Employee_0298</t>
  </si>
  <si>
    <t>SYN_EMP_0299</t>
  </si>
  <si>
    <t>Employee_0299</t>
  </si>
  <si>
    <t>SYN_EMP_0300</t>
  </si>
  <si>
    <t>Employee_0300</t>
  </si>
  <si>
    <t>SYN_EMP_0301</t>
  </si>
  <si>
    <t>Employee_0301</t>
  </si>
  <si>
    <t>SYN_EMP_0302</t>
  </si>
  <si>
    <t>Employee_0302</t>
  </si>
  <si>
    <t>SYN_EMP_0303</t>
  </si>
  <si>
    <t>Employee_0303</t>
  </si>
  <si>
    <t>SYN_EMP_0304</t>
  </si>
  <si>
    <t>Employee_0304</t>
  </si>
  <si>
    <t>SYN_EMP_0305</t>
  </si>
  <si>
    <t>Employee_0305</t>
  </si>
  <si>
    <t>SYN_EMP_0306</t>
  </si>
  <si>
    <t>Employee_0306</t>
  </si>
  <si>
    <t>SYN_EMP_0307</t>
  </si>
  <si>
    <t>Employee_0307</t>
  </si>
  <si>
    <t>SYN_EMP_0308</t>
  </si>
  <si>
    <t>Employee_0308</t>
  </si>
  <si>
    <t>SYN_EMP_0309</t>
  </si>
  <si>
    <t>Employee_0309</t>
  </si>
  <si>
    <t>SYN_EMP_0310</t>
  </si>
  <si>
    <t>Employee_0310</t>
  </si>
  <si>
    <t>SYN_EMP_0311</t>
  </si>
  <si>
    <t>Employee_0311</t>
  </si>
  <si>
    <t>SYN_EMP_0312</t>
  </si>
  <si>
    <t>Employee_0312</t>
  </si>
  <si>
    <t>SYN_EMP_0313</t>
  </si>
  <si>
    <t>Employee_0313</t>
  </si>
  <si>
    <t>SYN_EMP_0314</t>
  </si>
  <si>
    <t>Employee_0314</t>
  </si>
  <si>
    <t>SYN_EMP_0315</t>
  </si>
  <si>
    <t>Employee_0315</t>
  </si>
  <si>
    <t>SYN_EMP_0316</t>
  </si>
  <si>
    <t>Employee_0316</t>
  </si>
  <si>
    <t>SYN_EMP_0317</t>
  </si>
  <si>
    <t>Employee_0317</t>
  </si>
  <si>
    <t>SYN_EMP_0318</t>
  </si>
  <si>
    <t>Employee_0318</t>
  </si>
  <si>
    <t>SYN_EMP_0319</t>
  </si>
  <si>
    <t>Employee_0319</t>
  </si>
  <si>
    <t>SYN_EMP_0320</t>
  </si>
  <si>
    <t>Employee_0320</t>
  </si>
  <si>
    <t>SYN_EMP_0321</t>
  </si>
  <si>
    <t>Employee_0321</t>
  </si>
  <si>
    <t xml:space="preserve">Delhi </t>
  </si>
  <si>
    <t>SYN_EMP_0322</t>
  </si>
  <si>
    <t>Employee_0322</t>
  </si>
  <si>
    <t>SYN_EMP_0323</t>
  </si>
  <si>
    <t>Employee_0323</t>
  </si>
  <si>
    <t>SYN_EMP_0324</t>
  </si>
  <si>
    <t>Employee_0324</t>
  </si>
  <si>
    <t>SYN_EMP_0325</t>
  </si>
  <si>
    <t>Employee_0325</t>
  </si>
  <si>
    <t>SYN_EMP_0326</t>
  </si>
  <si>
    <t>Employee_0326</t>
  </si>
  <si>
    <t>SYN_EMP_0327</t>
  </si>
  <si>
    <t>Employee_0327</t>
  </si>
  <si>
    <t>SYN_EMP_0328</t>
  </si>
  <si>
    <t>Employee_0328</t>
  </si>
  <si>
    <t>SYN_EMP_0329</t>
  </si>
  <si>
    <t>Employee_0329</t>
  </si>
  <si>
    <t>SYN_EMP_0330</t>
  </si>
  <si>
    <t>Employee_0330</t>
  </si>
  <si>
    <t>SYN_EMP_0331</t>
  </si>
  <si>
    <t>Employee_0331</t>
  </si>
  <si>
    <t>SYN_EMP_0332</t>
  </si>
  <si>
    <t>Employee_0332</t>
  </si>
  <si>
    <t>SYN_EMP_0333</t>
  </si>
  <si>
    <t>Employee_0333</t>
  </si>
  <si>
    <t>SYN_EMP_0334</t>
  </si>
  <si>
    <t>Employee_0334</t>
  </si>
  <si>
    <t>SYN_EMP_0335</t>
  </si>
  <si>
    <t>Employee_0335</t>
  </si>
  <si>
    <t>SYN_EMP_0336</t>
  </si>
  <si>
    <t>Employee_0336</t>
  </si>
  <si>
    <t>SYN_EMP_0337</t>
  </si>
  <si>
    <t>Employee_0337</t>
  </si>
  <si>
    <t>SYN_EMP_0338</t>
  </si>
  <si>
    <t>Employee_0338</t>
  </si>
  <si>
    <t>SYN_EMP_0339</t>
  </si>
  <si>
    <t>Employee_0339</t>
  </si>
  <si>
    <t>SYN_EMP_0340</t>
  </si>
  <si>
    <t>Employee_0340</t>
  </si>
  <si>
    <t>SYN_EMP_0341</t>
  </si>
  <si>
    <t>Employee_0341</t>
  </si>
  <si>
    <t>SYN_EMP_0342</t>
  </si>
  <si>
    <t>Employee_0342</t>
  </si>
  <si>
    <t>SYN_EMP_0343</t>
  </si>
  <si>
    <t>Employee_0343</t>
  </si>
  <si>
    <t>SYN_EMP_0344</t>
  </si>
  <si>
    <t>Employee_0344</t>
  </si>
  <si>
    <t>SYN_EMP_0345</t>
  </si>
  <si>
    <t>Employee_0345</t>
  </si>
  <si>
    <t>SYN_EMP_0346</t>
  </si>
  <si>
    <t>Employee_0346</t>
  </si>
  <si>
    <t>SYN_EMP_0347</t>
  </si>
  <si>
    <t>Employee_0347</t>
  </si>
  <si>
    <t>SYN_EMP_0348</t>
  </si>
  <si>
    <t>Employee_0348</t>
  </si>
  <si>
    <t>SYN_EMP_0349</t>
  </si>
  <si>
    <t>Employee_0349</t>
  </si>
  <si>
    <t>SYN_EMP_0350</t>
  </si>
  <si>
    <t>Employee_0350</t>
  </si>
  <si>
    <t>SYN_EMP_0351</t>
  </si>
  <si>
    <t>Employee_0351</t>
  </si>
  <si>
    <t>SYN_EMP_0352</t>
  </si>
  <si>
    <t>Employee_0352</t>
  </si>
  <si>
    <t>SYN_EMP_0353</t>
  </si>
  <si>
    <t>Employee_0353</t>
  </si>
  <si>
    <t>SYN_EMP_0354</t>
  </si>
  <si>
    <t>Employee_0354</t>
  </si>
  <si>
    <t>SYN_EMP_0355</t>
  </si>
  <si>
    <t>Employee_0355</t>
  </si>
  <si>
    <t>SYN_EMP_0356</t>
  </si>
  <si>
    <t>Employee_0356</t>
  </si>
  <si>
    <t>SYN_EMP_0357</t>
  </si>
  <si>
    <t>Employee_0357</t>
  </si>
  <si>
    <t>SYN_EMP_0358</t>
  </si>
  <si>
    <t>Employee_0358</t>
  </si>
  <si>
    <t>SYN_EMP_0359</t>
  </si>
  <si>
    <t>Employee_0359</t>
  </si>
  <si>
    <t>SYN_EMP_0360</t>
  </si>
  <si>
    <t>Employee_0360</t>
  </si>
  <si>
    <t>SYN_EMP_0361</t>
  </si>
  <si>
    <t>Employee_0361</t>
  </si>
  <si>
    <t>SYN_EMP_0362</t>
  </si>
  <si>
    <t>Employee_0362</t>
  </si>
  <si>
    <t>SYN_EMP_0363</t>
  </si>
  <si>
    <t>Employee_0363</t>
  </si>
  <si>
    <t>SYN_EMP_0364</t>
  </si>
  <si>
    <t>Employee_0364</t>
  </si>
  <si>
    <t>SYN_EMP_0365</t>
  </si>
  <si>
    <t>Employee_0365</t>
  </si>
  <si>
    <t>SYN_EMP_0366</t>
  </si>
  <si>
    <t>Employee_0366</t>
  </si>
  <si>
    <t>SYN_EMP_0367</t>
  </si>
  <si>
    <t>Employee_0367</t>
  </si>
  <si>
    <t>SYN_EMP_0368</t>
  </si>
  <si>
    <t>Employee_0368</t>
  </si>
  <si>
    <t>SYN_EMP_0369</t>
  </si>
  <si>
    <t>Employee_0369</t>
  </si>
  <si>
    <t>SYN_EMP_0370</t>
  </si>
  <si>
    <t>Employee_0370</t>
  </si>
  <si>
    <t>SYN_EMP_0371</t>
  </si>
  <si>
    <t>Employee_0371</t>
  </si>
  <si>
    <t>SYN_EMP_0372</t>
  </si>
  <si>
    <t>Employee_0372</t>
  </si>
  <si>
    <t>SYN_EMP_0373</t>
  </si>
  <si>
    <t>Employee_0373</t>
  </si>
  <si>
    <t>SYN_EMP_0374</t>
  </si>
  <si>
    <t>Employee_0374</t>
  </si>
  <si>
    <t>SYN_EMP_0375</t>
  </si>
  <si>
    <t>Employee_0375</t>
  </si>
  <si>
    <t>SYN_EMP_0376</t>
  </si>
  <si>
    <t>Employee_0376</t>
  </si>
  <si>
    <t>SYN_EMP_0377</t>
  </si>
  <si>
    <t>Employee_0377</t>
  </si>
  <si>
    <t>SYN_EMP_0378</t>
  </si>
  <si>
    <t>Employee_0378</t>
  </si>
  <si>
    <t>SYN_EMP_0379</t>
  </si>
  <si>
    <t>Employee_0379</t>
  </si>
  <si>
    <t>SYN_EMP_0380</t>
  </si>
  <si>
    <t>Employee_0380</t>
  </si>
  <si>
    <t>SYN_EMP_0381</t>
  </si>
  <si>
    <t>Employee_0381</t>
  </si>
  <si>
    <t>SYN_EMP_0382</t>
  </si>
  <si>
    <t>Employee_0382</t>
  </si>
  <si>
    <t>SYN_EMP_0383</t>
  </si>
  <si>
    <t>Employee_0383</t>
  </si>
  <si>
    <t>SYN_EMP_0384</t>
  </si>
  <si>
    <t>Employee_0384</t>
  </si>
  <si>
    <t>SYN_EMP_0385</t>
  </si>
  <si>
    <t>Employee_0385</t>
  </si>
  <si>
    <t>SYN_EMP_0386</t>
  </si>
  <si>
    <t>Employee_0386</t>
  </si>
  <si>
    <t>SYN_EMP_0387</t>
  </si>
  <si>
    <t>Employee_0387</t>
  </si>
  <si>
    <t>SYN_EMP_0388</t>
  </si>
  <si>
    <t>Employee_0388</t>
  </si>
  <si>
    <t>SYN_EMP_0389</t>
  </si>
  <si>
    <t>Employee_0389</t>
  </si>
  <si>
    <t>SYN_EMP_0390</t>
  </si>
  <si>
    <t>Employee_0390</t>
  </si>
  <si>
    <t>SYN_EMP_0391</t>
  </si>
  <si>
    <t>Employee_0391</t>
  </si>
  <si>
    <t>SYN_EMP_0392</t>
  </si>
  <si>
    <t>Employee_0392</t>
  </si>
  <si>
    <t>SYN_EMP_0393</t>
  </si>
  <si>
    <t>Employee_0393</t>
  </si>
  <si>
    <t>SYN_EMP_0394</t>
  </si>
  <si>
    <t>Employee_0394</t>
  </si>
  <si>
    <t>SYN_EMP_0395</t>
  </si>
  <si>
    <t>Employee_0395</t>
  </si>
  <si>
    <t>SYN_EMP_0396</t>
  </si>
  <si>
    <t>Employee_0396</t>
  </si>
  <si>
    <t>SYN_EMP_0397</t>
  </si>
  <si>
    <t>Employee_0397</t>
  </si>
  <si>
    <t>SYN_EMP_0398</t>
  </si>
  <si>
    <t>Employee_0398</t>
  </si>
  <si>
    <t>SYN_EMP_0399</t>
  </si>
  <si>
    <t>Employee_0399</t>
  </si>
  <si>
    <t>SYN_EMP_0400</t>
  </si>
  <si>
    <t>Employee_0400</t>
  </si>
  <si>
    <t>SYN_EMP_0401</t>
  </si>
  <si>
    <t>Employee_0401</t>
  </si>
  <si>
    <t>SYN_EMP_0402</t>
  </si>
  <si>
    <t>Employee_0402</t>
  </si>
  <si>
    <t>SYN_EMP_0403</t>
  </si>
  <si>
    <t>Employee_0403</t>
  </si>
  <si>
    <t>SYN_EMP_0404</t>
  </si>
  <si>
    <t>Employee_0404</t>
  </si>
  <si>
    <t>SYN_EMP_0405</t>
  </si>
  <si>
    <t>Employee_0405</t>
  </si>
  <si>
    <t>SYN_EMP_0406</t>
  </si>
  <si>
    <t>Employee_0406</t>
  </si>
  <si>
    <t>SYN_EMP_0407</t>
  </si>
  <si>
    <t>Employee_0407</t>
  </si>
  <si>
    <t>SYN_EMP_0408</t>
  </si>
  <si>
    <t>Employee_0408</t>
  </si>
  <si>
    <t>SYN_EMP_0409</t>
  </si>
  <si>
    <t>Employee_0409</t>
  </si>
  <si>
    <t>SYN_EMP_0410</t>
  </si>
  <si>
    <t>Employee_0410</t>
  </si>
  <si>
    <t>SYN_EMP_0411</t>
  </si>
  <si>
    <t>Employee_0411</t>
  </si>
  <si>
    <t>SYN_EMP_0412</t>
  </si>
  <si>
    <t>Employee_0412</t>
  </si>
  <si>
    <t>SYN_EMP_0413</t>
  </si>
  <si>
    <t>Employee_0413</t>
  </si>
  <si>
    <t>SYN_EMP_0414</t>
  </si>
  <si>
    <t>Employee_0414</t>
  </si>
  <si>
    <t>SYN_EMP_0415</t>
  </si>
  <si>
    <t>Employee_0415</t>
  </si>
  <si>
    <t>SYN_EMP_0416</t>
  </si>
  <si>
    <t>Employee_0416</t>
  </si>
  <si>
    <t>SYN_EMP_0417</t>
  </si>
  <si>
    <t>Employee_0417</t>
  </si>
  <si>
    <t>SYN_EMP_0418</t>
  </si>
  <si>
    <t>Employee_0418</t>
  </si>
  <si>
    <t>SYN_EMP_0419</t>
  </si>
  <si>
    <t>Employee_0419</t>
  </si>
  <si>
    <t>SYN_EMP_0420</t>
  </si>
  <si>
    <t>Employee_0420</t>
  </si>
  <si>
    <t>SYN_EMP_0421</t>
  </si>
  <si>
    <t>Employee_0421</t>
  </si>
  <si>
    <t>delhi</t>
  </si>
  <si>
    <t>SYN_EMP_0422</t>
  </si>
  <si>
    <t>Employee_0422</t>
  </si>
  <si>
    <t>SYN_EMP_0423</t>
  </si>
  <si>
    <t>Employee_0423</t>
  </si>
  <si>
    <t>SYN_EMP_0424</t>
  </si>
  <si>
    <t>Employee_0424</t>
  </si>
  <si>
    <t>SYN_EMP_0425</t>
  </si>
  <si>
    <t>Employee_0425</t>
  </si>
  <si>
    <t>SYN_EMP_0426</t>
  </si>
  <si>
    <t>Employee_0426</t>
  </si>
  <si>
    <t>SYN_EMP_0427</t>
  </si>
  <si>
    <t>Employee_0427</t>
  </si>
  <si>
    <t>SYN_EMP_0428</t>
  </si>
  <si>
    <t>Employee_0428</t>
  </si>
  <si>
    <t>SYN_EMP_0429</t>
  </si>
  <si>
    <t>Employee_0429</t>
  </si>
  <si>
    <t>SYN_EMP_0430</t>
  </si>
  <si>
    <t>Employee_0430</t>
  </si>
  <si>
    <t>SYN_EMP_0431</t>
  </si>
  <si>
    <t>Employee_0431</t>
  </si>
  <si>
    <t>SYN_EMP_0432</t>
  </si>
  <si>
    <t>Employee_0432</t>
  </si>
  <si>
    <t>SYN_EMP_0433</t>
  </si>
  <si>
    <t>Employee_0433</t>
  </si>
  <si>
    <t>SYN_EMP_0434</t>
  </si>
  <si>
    <t>Employee_0434</t>
  </si>
  <si>
    <t>SYN_EMP_0435</t>
  </si>
  <si>
    <t>Employee_0435</t>
  </si>
  <si>
    <t>SYN_EMP_0436</t>
  </si>
  <si>
    <t>Employee_0436</t>
  </si>
  <si>
    <t>SYN_EMP_0437</t>
  </si>
  <si>
    <t>Employee_0437</t>
  </si>
  <si>
    <t>SYN_EMP_0438</t>
  </si>
  <si>
    <t>Employee_0438</t>
  </si>
  <si>
    <t>SYN_EMP_0439</t>
  </si>
  <si>
    <t>Employee_0439</t>
  </si>
  <si>
    <t>SYN_EMP_0440</t>
  </si>
  <si>
    <t>Employee_0440</t>
  </si>
  <si>
    <t>SYN_EMP_0441</t>
  </si>
  <si>
    <t>Employee_0441</t>
  </si>
  <si>
    <t>SYN_EMP_0442</t>
  </si>
  <si>
    <t>Employee_0442</t>
  </si>
  <si>
    <t>SYN_EMP_0443</t>
  </si>
  <si>
    <t>Employee_0443</t>
  </si>
  <si>
    <t>SYN_EMP_0444</t>
  </si>
  <si>
    <t>Employee_0444</t>
  </si>
  <si>
    <t>SYN_EMP_0445</t>
  </si>
  <si>
    <t>Employee_0445</t>
  </si>
  <si>
    <t>SYN_EMP_0446</t>
  </si>
  <si>
    <t>Employee_0446</t>
  </si>
  <si>
    <t>SYN_EMP_0447</t>
  </si>
  <si>
    <t>Employee_0447</t>
  </si>
  <si>
    <t>SYN_EMP_0448</t>
  </si>
  <si>
    <t>Employee_0448</t>
  </si>
  <si>
    <t>SYN_EMP_0449</t>
  </si>
  <si>
    <t>Employee_0449</t>
  </si>
  <si>
    <t>SYN_EMP_0450</t>
  </si>
  <si>
    <t>Employee_0450</t>
  </si>
  <si>
    <t>SYN_EMP_0451</t>
  </si>
  <si>
    <t>Employee_0451</t>
  </si>
  <si>
    <t>SYN_EMP_0452</t>
  </si>
  <si>
    <t>Employee_0452</t>
  </si>
  <si>
    <t>SYN_EMP_0453</t>
  </si>
  <si>
    <t>Employee_0453</t>
  </si>
  <si>
    <t>SYN_EMP_0454</t>
  </si>
  <si>
    <t>Employee_0454</t>
  </si>
  <si>
    <t>SYN_EMP_0455</t>
  </si>
  <si>
    <t>Employee_0455</t>
  </si>
  <si>
    <t>SYN_EMP_0456</t>
  </si>
  <si>
    <t>Employee_0456</t>
  </si>
  <si>
    <t>SYN_EMP_0457</t>
  </si>
  <si>
    <t>Employee_0457</t>
  </si>
  <si>
    <t>SYN_EMP_0458</t>
  </si>
  <si>
    <t>Employee_0458</t>
  </si>
  <si>
    <t>SYN_EMP_0459</t>
  </si>
  <si>
    <t>Employee_0459</t>
  </si>
  <si>
    <t>SYN_EMP_0460</t>
  </si>
  <si>
    <t>Employee_0460</t>
  </si>
  <si>
    <t>SYN_EMP_0461</t>
  </si>
  <si>
    <t>Employee_0461</t>
  </si>
  <si>
    <t>SYN_EMP_0462</t>
  </si>
  <si>
    <t>Employee_0462</t>
  </si>
  <si>
    <t>SYN_EMP_0463</t>
  </si>
  <si>
    <t>Employee_0463</t>
  </si>
  <si>
    <t>SYN_EMP_0464</t>
  </si>
  <si>
    <t>Employee_0464</t>
  </si>
  <si>
    <t>SYN_EMP_0465</t>
  </si>
  <si>
    <t>Employee_0465</t>
  </si>
  <si>
    <t>SYN_EMP_0466</t>
  </si>
  <si>
    <t>Employee_0466</t>
  </si>
  <si>
    <t>SYN_EMP_0467</t>
  </si>
  <si>
    <t>Employee_0467</t>
  </si>
  <si>
    <t>SYN_EMP_0468</t>
  </si>
  <si>
    <t>Employee_0468</t>
  </si>
  <si>
    <t>SYN_EMP_0469</t>
  </si>
  <si>
    <t>Employee_0469</t>
  </si>
  <si>
    <t>SYN_EMP_0470</t>
  </si>
  <si>
    <t>Employee_0470</t>
  </si>
  <si>
    <t>SYN_EMP_0471</t>
  </si>
  <si>
    <t>Employee_0471</t>
  </si>
  <si>
    <t>SYN_EMP_0472</t>
  </si>
  <si>
    <t>Employee_0472</t>
  </si>
  <si>
    <t>SYN_EMP_0473</t>
  </si>
  <si>
    <t>Employee_0473</t>
  </si>
  <si>
    <t>SYN_EMP_0474</t>
  </si>
  <si>
    <t>Employee_0474</t>
  </si>
  <si>
    <t>SYN_EMP_0475</t>
  </si>
  <si>
    <t>Employee_0475</t>
  </si>
  <si>
    <t>SYN_EMP_0476</t>
  </si>
  <si>
    <t>Employee_0476</t>
  </si>
  <si>
    <t>SYN_EMP_0477</t>
  </si>
  <si>
    <t>Employee_0477</t>
  </si>
  <si>
    <t>SYN_EMP_0478</t>
  </si>
  <si>
    <t>Employee_0478</t>
  </si>
  <si>
    <t>SYN_EMP_0479</t>
  </si>
  <si>
    <t>Employee_0479</t>
  </si>
  <si>
    <t>SYN_EMP_0480</t>
  </si>
  <si>
    <t>Employee_0480</t>
  </si>
  <si>
    <t>SYN_EMP_0481</t>
  </si>
  <si>
    <t>Employee_0481</t>
  </si>
  <si>
    <t>SYN_EMP_0482</t>
  </si>
  <si>
    <t>Employee_0482</t>
  </si>
  <si>
    <t>SYN_EMP_0483</t>
  </si>
  <si>
    <t>Employee_0483</t>
  </si>
  <si>
    <t>SYN_EMP_0484</t>
  </si>
  <si>
    <t>Employee_0484</t>
  </si>
  <si>
    <t>SYN_EMP_0485</t>
  </si>
  <si>
    <t>Employee_0485</t>
  </si>
  <si>
    <t>SYN_EMP_0486</t>
  </si>
  <si>
    <t>Employee_0486</t>
  </si>
  <si>
    <t>SYN_EMP_0487</t>
  </si>
  <si>
    <t>Employee_0487</t>
  </si>
  <si>
    <t>SYN_EMP_0488</t>
  </si>
  <si>
    <t>Employee_0488</t>
  </si>
  <si>
    <t>SYN_EMP_0489</t>
  </si>
  <si>
    <t>Employee_0489</t>
  </si>
  <si>
    <t>SYN_EMP_0490</t>
  </si>
  <si>
    <t>Employee_0490</t>
  </si>
  <si>
    <t>SYN_EMP_0491</t>
  </si>
  <si>
    <t>Employee_0491</t>
  </si>
  <si>
    <t>SYN_EMP_0492</t>
  </si>
  <si>
    <t>Employee_0492</t>
  </si>
  <si>
    <t>SYN_EMP_0493</t>
  </si>
  <si>
    <t>Employee_0493</t>
  </si>
  <si>
    <t>SYN_EMP_0494</t>
  </si>
  <si>
    <t>Employee_0494</t>
  </si>
  <si>
    <t>SYN_EMP_0495</t>
  </si>
  <si>
    <t>Employee_0495</t>
  </si>
  <si>
    <t>SYN_EMP_0496</t>
  </si>
  <si>
    <t>Employee_0496</t>
  </si>
  <si>
    <t>SYN_EMP_0497</t>
  </si>
  <si>
    <t>Employee_0497</t>
  </si>
  <si>
    <t>SYN_EMP_0498</t>
  </si>
  <si>
    <t>Employee_0498</t>
  </si>
  <si>
    <t>SYN_EMP_0499</t>
  </si>
  <si>
    <t>Employee_0499</t>
  </si>
  <si>
    <t>SYN_EMP_0500</t>
  </si>
  <si>
    <t>Employee_0500</t>
  </si>
  <si>
    <t>Score</t>
  </si>
  <si>
    <t>Field</t>
  </si>
  <si>
    <t>Meaning</t>
  </si>
  <si>
    <t>Synthetic employee identifier</t>
  </si>
  <si>
    <t>Synthetic employee label; not a real person</t>
  </si>
  <si>
    <t>Synthetic gender category</t>
  </si>
  <si>
    <t>Age in years</t>
  </si>
  <si>
    <t>Highest education level</t>
  </si>
  <si>
    <t>Business department</t>
  </si>
  <si>
    <t>Employment type</t>
  </si>
  <si>
    <t>Office location</t>
  </si>
  <si>
    <t>Years of experience</t>
  </si>
  <si>
    <t>Annual salary (synthetic)</t>
  </si>
  <si>
    <t>Performance rating</t>
  </si>
  <si>
    <t>Job satisfaction score (1-10)</t>
  </si>
  <si>
    <t>Training hours completed</t>
  </si>
  <si>
    <t>Projects completed</t>
  </si>
  <si>
    <t>Remote eligibility</t>
  </si>
  <si>
    <t>Overtime status</t>
  </si>
  <si>
    <t>Manager rating (1-5)</t>
  </si>
  <si>
    <t>Promotion status</t>
  </si>
  <si>
    <t>Attrition status</t>
  </si>
  <si>
    <t>Public Use Notes</t>
  </si>
  <si>
    <t>SYNTHETIC DATASET — created for a public GitHub portfolio.</t>
  </si>
  <si>
    <t>It is NOT real employee data and contains no original employee names or employee IDs.</t>
  </si>
  <si>
    <t>The original project structure is preserved so the same Excel questions and dashboard workflow can be practiced.</t>
  </si>
  <si>
    <t>Raw_Data intentionally contains duplicate records, text inconsistencies, and invalid numeric values for cleaning practice.</t>
  </si>
  <si>
    <t>Keep Raw_Data unchanged and create Clean_Data separately.</t>
  </si>
  <si>
    <t>No date/time fields are included.</t>
  </si>
  <si>
    <t>Duplicate_Flag</t>
  </si>
  <si>
    <t>Clean_Employee_Name</t>
  </si>
  <si>
    <t>Clean_Gender</t>
  </si>
  <si>
    <t>Clean_Department</t>
  </si>
  <si>
    <t>Clean_Location</t>
  </si>
  <si>
    <t>Salary_Check</t>
  </si>
  <si>
    <t>Satisfaction_Check</t>
  </si>
  <si>
    <t>Experience_Check</t>
  </si>
  <si>
    <t>Data_Quality_Flag</t>
  </si>
  <si>
    <t>Training_Check</t>
  </si>
  <si>
    <t>Cleaning Decisions</t>
  </si>
  <si>
    <t>Issue</t>
  </si>
  <si>
    <t>Count</t>
  </si>
  <si>
    <t>Action Taken</t>
  </si>
  <si>
    <t>Duplicate Employee IDs</t>
  </si>
  <si>
    <t>4 duplicate rows</t>
  </si>
  <si>
    <t>Keep first occurrence; exclude duplicate records from final analysis</t>
  </si>
  <si>
    <t>Invalid Salary</t>
  </si>
  <si>
    <t>Exclude from final analysis; retain original value and flag</t>
  </si>
  <si>
    <t>Invalid Job Satisfaction</t>
  </si>
  <si>
    <t>Invalid Training Hours</t>
  </si>
  <si>
    <t>Invalid Experience Years</t>
  </si>
  <si>
    <t>Include_Flag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</si>
</sst>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3" xfId="0" applyFont="1" applyFill="1" applyBorder="1"/>
    <xf numFmtId="0" fontId="0" fillId="5" borderId="3" xfId="0" applyFont="1" applyFill="1" applyBorder="1"/>
    <xf numFmtId="0" fontId="0" fillId="4" borderId="4" xfId="0" applyFont="1" applyFill="1" applyBorder="1"/>
    <xf numFmtId="0" fontId="0" fillId="5" borderId="4" xfId="0" applyFont="1" applyFill="1" applyBorder="1"/>
    <xf numFmtId="0" fontId="0" fillId="0" borderId="0" xfId="0" applyNumberFormat="1"/>
    <xf numFmtId="0" fontId="0" fillId="5" borderId="5" xfId="0" applyFont="1" applyFill="1" applyBorder="1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0" fillId="5" borderId="6" xfId="0" applyFont="1" applyFill="1" applyBorder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B1900-A9DA-4A62-9859-0F84FC7CDBBD}" name="HR_Data" displayName="HR_Data" ref="A1:AD503" totalsRowShown="0" headerRowDxfId="37" headerRowBorderDxfId="36" tableBorderDxfId="35">
  <autoFilter ref="A1:AD503" xr:uid="{106B1900-A9DA-4A62-9859-0F84FC7CDBBD}">
    <filterColumn colId="29">
      <filters>
        <filter val="Include"/>
      </filters>
    </filterColumn>
  </autoFilter>
  <tableColumns count="30">
    <tableColumn id="1" xr3:uid="{449F78CD-460B-462F-A042-BC17BB6B24D1}" name="Employee_ID"/>
    <tableColumn id="2" xr3:uid="{6143A28E-5D8E-4788-909E-8BB3342558E4}" name="Employee_Name"/>
    <tableColumn id="3" xr3:uid="{A8CCC73E-6CB1-4CCF-9DE8-DC1FC46760CE}" name="Gender"/>
    <tableColumn id="4" xr3:uid="{0220B279-37E7-4ACE-AF35-89AE5226ECA6}" name="Age"/>
    <tableColumn id="5" xr3:uid="{25BE8F2B-0514-40E9-8E55-5D255887B88D}" name="Education"/>
    <tableColumn id="6" xr3:uid="{BA320209-9120-4AD6-9A2C-7CEA292A018C}" name="Department"/>
    <tableColumn id="7" xr3:uid="{0FC088E0-DCFB-4539-90A0-AFE78C099A28}" name="Job_Type"/>
    <tableColumn id="8" xr3:uid="{BB085B6B-DE0A-44DF-BF89-8D8FDFE5CF2D}" name="Location"/>
    <tableColumn id="9" xr3:uid="{D9565849-653B-4BF9-B83D-4198F913A5B9}" name="Experience_Years"/>
    <tableColumn id="10" xr3:uid="{F88B4C05-E0BB-42B5-9869-96AF1CD442D8}" name="Salary"/>
    <tableColumn id="11" xr3:uid="{5592244B-8A71-4A9F-9578-39DF9620200F}" name="Performance_Rating"/>
    <tableColumn id="12" xr3:uid="{954722E4-2803-4730-B459-A2F17273C899}" name="Job_Satisfaction"/>
    <tableColumn id="13" xr3:uid="{7C97DAD9-DE03-4F6A-9FD8-302AB77D2479}" name="Training_Hours"/>
    <tableColumn id="14" xr3:uid="{6003FFD8-A9EC-4B40-BBEE-80012950D2A1}" name="Projects_Completed"/>
    <tableColumn id="15" xr3:uid="{05861DBD-B3E2-4896-9EA1-6EE45107DC8E}" name="Remote_Eligible"/>
    <tableColumn id="16" xr3:uid="{FFC1D982-8416-4D76-A1F5-E2CAFFA79A3E}" name="Overtime"/>
    <tableColumn id="17" xr3:uid="{A06E7DAC-D8FF-4AD6-9422-B4D29D07868E}" name="Manager_Rating"/>
    <tableColumn id="18" xr3:uid="{742147E7-8737-47C5-98E1-FE5F703598C1}" name="Promoted"/>
    <tableColumn id="19" xr3:uid="{708D2650-1CFB-4F7B-BA07-4F75436EE19D}" name="Attrition"/>
    <tableColumn id="20" xr3:uid="{5041AB1E-D41B-4008-ABBD-EB4059EDE59C}" name="Duplicate_Flag" dataDxfId="34">
      <calculatedColumnFormula>COUNTIF($A$2:$A$503,A2)&gt;1</calculatedColumnFormula>
    </tableColumn>
    <tableColumn id="21" xr3:uid="{44659AA1-2955-4FB2-98B6-2003FFF04B31}" name="Clean_Employee_Name" dataDxfId="33">
      <calculatedColumnFormula>TRIM(B2)</calculatedColumnFormula>
    </tableColumn>
    <tableColumn id="22" xr3:uid="{AFC50FD4-ABD2-4EE7-BEE8-73816CBC3861}" name="Clean_Gender" dataDxfId="32">
      <calculatedColumnFormula>PROPER(TRIM(C2))</calculatedColumnFormula>
    </tableColumn>
    <tableColumn id="23" xr3:uid="{ADA91328-F20B-49A0-9136-D505DE7FFB14}" name="Clean_Department" dataDxfId="31">
      <calculatedColumnFormula>PROPER(TRIM(F2))</calculatedColumnFormula>
    </tableColumn>
    <tableColumn id="24" xr3:uid="{446290BA-5644-4B2C-9450-918AA3E69887}" name="Clean_Location" dataDxfId="30">
      <calculatedColumnFormula>PROPER(TRIM(H2))</calculatedColumnFormula>
    </tableColumn>
    <tableColumn id="25" xr3:uid="{62716F93-3153-45E7-9852-AEA4EC5C5A38}" name="Salary_Check" dataDxfId="29">
      <calculatedColumnFormula>IF(J2&lt;=0,"Check","Valid")</calculatedColumnFormula>
    </tableColumn>
    <tableColumn id="26" xr3:uid="{B42103FD-618E-48F3-AA23-D358FAA55DBE}" name="Satisfaction_Check" dataDxfId="28">
      <calculatedColumnFormula>IF(AND(L2&gt;=1,L2&lt;=10),"Valid","Check")</calculatedColumnFormula>
    </tableColumn>
    <tableColumn id="29" xr3:uid="{673DD39B-23FD-4D2E-9AC2-471AFE7D5905}" name="Training_Check" dataDxfId="26">
      <calculatedColumnFormula>IF(AND(M2&gt;=0,M2&lt;=200),"Valid","Check")</calculatedColumnFormula>
    </tableColumn>
    <tableColumn id="27" xr3:uid="{6AD927BC-ACBB-48BF-AD18-B11C24FE2700}" name="Experience_Check" dataDxfId="27">
      <calculatedColumnFormula>IF(AND(I2&gt;=0,I2&lt;=50),"Valid","Check")</calculatedColumnFormula>
    </tableColumn>
    <tableColumn id="28" xr3:uid="{D8653AEA-A36A-4412-99C2-49C1C3C62F01}" name="Data_Quality_Flag" dataDxfId="25">
      <calculatedColumnFormula>IF(OR(T2=TRUE,Y2="Check",Z2="Check",AA2="Check",AB2="Check"),"Check","Valid")</calculatedColumnFormula>
    </tableColumn>
    <tableColumn id="30" xr3:uid="{3D4560C5-8EAB-4DDC-96B1-1FF62F4A0559}" name="Include_Flag" dataDxfId="24">
      <calculatedColumnFormula>IF(AND(Y2="Valid",Z2="Valid",AA2="Valid",AB2="Valid",COUNTIF($A$2:A2,A2)=1),"Include","Exclude")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D0AA0-F063-4192-8192-175409CB4669}" name="Final_HR_Data" displayName="Final_HR_Data" ref="A1:S495" totalsRowShown="0" headerRowDxfId="0" dataDxfId="1" headerRowBorderDxfId="22" tableBorderDxfId="23" totalsRowBorderDxfId="21">
  <autoFilter ref="A1:S495" xr:uid="{C3CD0AA0-F063-4192-8192-175409CB4669}"/>
  <tableColumns count="19">
    <tableColumn id="1" xr3:uid="{C40AE461-926B-454D-883A-7DBFE5E68EDE}" name="Employee_ID" dataDxfId="20"/>
    <tableColumn id="2" xr3:uid="{58613356-2BDD-4D82-8748-468236EC779B}" name="Employee_Name" dataDxfId="19"/>
    <tableColumn id="3" xr3:uid="{721397AF-072C-4B1A-A6FF-846839247806}" name="Gender" dataDxfId="18"/>
    <tableColumn id="4" xr3:uid="{932B5E2D-C847-4243-8F59-A540AE8B0F1E}" name="Age" dataDxfId="17"/>
    <tableColumn id="5" xr3:uid="{0F314EBD-F21B-4507-88FB-2E5C871DA851}" name="Education" dataDxfId="16"/>
    <tableColumn id="6" xr3:uid="{FEA34722-D1C1-4C7E-A84E-B64A4043E07E}" name="Department" dataDxfId="15"/>
    <tableColumn id="7" xr3:uid="{D03876A8-EA60-4D7A-BE57-A1F329D7801A}" name="Job_Type" dataDxfId="14"/>
    <tableColumn id="8" xr3:uid="{9D189B0F-45AB-4719-8B67-EFEAF3CD034E}" name="Location" dataDxfId="13"/>
    <tableColumn id="9" xr3:uid="{7F823F9F-07D1-497F-9503-076877E538CC}" name="Experience_Years" dataDxfId="12"/>
    <tableColumn id="10" xr3:uid="{215B8CD2-3D3A-4A87-A629-5845DCE20965}" name="Salary" dataDxfId="11"/>
    <tableColumn id="11" xr3:uid="{CD78C1FA-00FF-443E-A2D4-3ABF31574E21}" name="Performance_Rating" dataDxfId="10"/>
    <tableColumn id="12" xr3:uid="{8951FDE0-AED7-4989-A560-088DDF7E3AF9}" name="Job_Satisfaction" dataDxfId="9"/>
    <tableColumn id="13" xr3:uid="{3D200A31-2E19-46E0-96C6-D7577DA2E27F}" name="Training_Hours" dataDxfId="8"/>
    <tableColumn id="14" xr3:uid="{4C1C46EF-D3A4-45A4-89F6-C33C7897A300}" name="Projects_Completed" dataDxfId="7"/>
    <tableColumn id="15" xr3:uid="{DD8F093C-585E-42B5-83AB-C3703C652579}" name="Remote_Eligible" dataDxfId="6"/>
    <tableColumn id="16" xr3:uid="{6C689518-6A32-4C58-B0C6-EDC1B2327925}" name="Overtime" dataDxfId="5"/>
    <tableColumn id="17" xr3:uid="{6F74519C-42D2-4486-9A93-45A311E714C0}" name="Manager_Rating" dataDxfId="4"/>
    <tableColumn id="18" xr3:uid="{6D49AEF0-9DCB-4F76-AC74-EA567E6B7608}" name="Promoted" dataDxfId="3"/>
    <tableColumn id="19" xr3:uid="{B2CA2880-21DD-4FD2-95B4-9269C8F61B4A}" name="Attri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3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4" customWidth="1"/>
    <col min="2" max="2" width="15" customWidth="1"/>
    <col min="3" max="4" width="12" customWidth="1"/>
    <col min="5" max="5" width="15" customWidth="1"/>
    <col min="6" max="6" width="18" customWidth="1"/>
    <col min="7" max="8" width="12" customWidth="1"/>
    <col min="9" max="9" width="18" customWidth="1"/>
    <col min="10" max="10" width="12" customWidth="1"/>
    <col min="11" max="11" width="20" customWidth="1"/>
    <col min="12" max="12" width="18" customWidth="1"/>
    <col min="13" max="13" width="16" customWidth="1"/>
    <col min="14" max="14" width="20" customWidth="1"/>
    <col min="15" max="15" width="17" customWidth="1"/>
    <col min="16" max="16" width="12" customWidth="1"/>
    <col min="17" max="17" width="16" customWidth="1"/>
    <col min="18" max="19" width="12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26</v>
      </c>
      <c r="E2" t="s">
        <v>22</v>
      </c>
      <c r="F2" t="s">
        <v>23</v>
      </c>
      <c r="G2" t="s">
        <v>24</v>
      </c>
      <c r="H2" t="s">
        <v>25</v>
      </c>
      <c r="I2">
        <v>3</v>
      </c>
      <c r="J2">
        <v>67217</v>
      </c>
      <c r="K2" t="s">
        <v>26</v>
      </c>
      <c r="L2">
        <v>5</v>
      </c>
      <c r="M2">
        <v>55</v>
      </c>
      <c r="N2">
        <v>6</v>
      </c>
      <c r="O2" t="s">
        <v>27</v>
      </c>
      <c r="P2" t="s">
        <v>28</v>
      </c>
      <c r="Q2">
        <v>3</v>
      </c>
      <c r="R2" t="s">
        <v>28</v>
      </c>
      <c r="S2" t="s">
        <v>27</v>
      </c>
    </row>
    <row r="3" spans="1:19" x14ac:dyDescent="0.35">
      <c r="A3" t="s">
        <v>29</v>
      </c>
      <c r="B3" t="s">
        <v>30</v>
      </c>
      <c r="C3" t="s">
        <v>31</v>
      </c>
      <c r="D3">
        <v>36</v>
      </c>
      <c r="E3" t="s">
        <v>32</v>
      </c>
      <c r="F3" t="s">
        <v>33</v>
      </c>
      <c r="G3" t="s">
        <v>24</v>
      </c>
      <c r="H3" t="s">
        <v>34</v>
      </c>
      <c r="I3">
        <v>12</v>
      </c>
      <c r="J3">
        <v>57240</v>
      </c>
      <c r="K3" t="s">
        <v>35</v>
      </c>
      <c r="L3">
        <v>2</v>
      </c>
      <c r="M3">
        <v>23</v>
      </c>
      <c r="N3">
        <v>6</v>
      </c>
      <c r="O3" t="s">
        <v>28</v>
      </c>
      <c r="P3" t="s">
        <v>28</v>
      </c>
      <c r="Q3">
        <v>1</v>
      </c>
      <c r="R3" t="s">
        <v>27</v>
      </c>
      <c r="S3" t="s">
        <v>27</v>
      </c>
    </row>
    <row r="4" spans="1:19" x14ac:dyDescent="0.35">
      <c r="A4" t="s">
        <v>36</v>
      </c>
      <c r="B4" t="s">
        <v>37</v>
      </c>
      <c r="C4" t="s">
        <v>21</v>
      </c>
      <c r="D4">
        <v>53</v>
      </c>
      <c r="E4" t="s">
        <v>38</v>
      </c>
      <c r="F4" t="s">
        <v>39</v>
      </c>
      <c r="G4" t="s">
        <v>24</v>
      </c>
      <c r="H4" t="s">
        <v>34</v>
      </c>
      <c r="I4">
        <v>24</v>
      </c>
      <c r="J4">
        <v>65086</v>
      </c>
      <c r="K4" t="s">
        <v>40</v>
      </c>
      <c r="L4">
        <v>2</v>
      </c>
      <c r="M4">
        <v>29</v>
      </c>
      <c r="N4">
        <v>6</v>
      </c>
      <c r="O4" t="s">
        <v>27</v>
      </c>
      <c r="P4" t="s">
        <v>28</v>
      </c>
      <c r="Q4">
        <v>4</v>
      </c>
      <c r="R4" t="s">
        <v>28</v>
      </c>
      <c r="S4" t="s">
        <v>27</v>
      </c>
    </row>
    <row r="5" spans="1:19" x14ac:dyDescent="0.35">
      <c r="A5" t="s">
        <v>41</v>
      </c>
      <c r="B5" t="s">
        <v>42</v>
      </c>
      <c r="C5" t="s">
        <v>31</v>
      </c>
      <c r="D5">
        <v>48</v>
      </c>
      <c r="E5" t="s">
        <v>38</v>
      </c>
      <c r="F5" t="s">
        <v>43</v>
      </c>
      <c r="G5" t="s">
        <v>44</v>
      </c>
      <c r="H5" t="s">
        <v>25</v>
      </c>
      <c r="I5">
        <v>12</v>
      </c>
      <c r="J5">
        <v>76341</v>
      </c>
      <c r="K5" t="s">
        <v>45</v>
      </c>
      <c r="L5">
        <v>3</v>
      </c>
      <c r="M5">
        <v>4</v>
      </c>
      <c r="N5">
        <v>4</v>
      </c>
      <c r="O5" t="s">
        <v>27</v>
      </c>
      <c r="P5" t="s">
        <v>27</v>
      </c>
      <c r="Q5">
        <v>5</v>
      </c>
      <c r="R5" t="s">
        <v>27</v>
      </c>
      <c r="S5" t="s">
        <v>27</v>
      </c>
    </row>
    <row r="6" spans="1:19" x14ac:dyDescent="0.35">
      <c r="A6" t="s">
        <v>46</v>
      </c>
      <c r="B6" t="s">
        <v>47</v>
      </c>
      <c r="C6" t="s">
        <v>21</v>
      </c>
      <c r="D6">
        <v>42</v>
      </c>
      <c r="E6" t="s">
        <v>38</v>
      </c>
      <c r="F6" t="s">
        <v>48</v>
      </c>
      <c r="G6" t="s">
        <v>44</v>
      </c>
      <c r="H6" t="s">
        <v>49</v>
      </c>
      <c r="I6">
        <v>14</v>
      </c>
      <c r="J6">
        <v>53557</v>
      </c>
      <c r="K6" t="s">
        <v>45</v>
      </c>
      <c r="L6">
        <v>2</v>
      </c>
      <c r="M6">
        <v>33</v>
      </c>
      <c r="N6">
        <v>6</v>
      </c>
      <c r="O6" t="s">
        <v>27</v>
      </c>
      <c r="P6" t="s">
        <v>27</v>
      </c>
      <c r="Q6">
        <v>4</v>
      </c>
      <c r="R6" t="s">
        <v>27</v>
      </c>
      <c r="S6" t="s">
        <v>28</v>
      </c>
    </row>
    <row r="7" spans="1:19" x14ac:dyDescent="0.35">
      <c r="A7" t="s">
        <v>50</v>
      </c>
      <c r="B7" t="s">
        <v>51</v>
      </c>
      <c r="C7" t="s">
        <v>21</v>
      </c>
      <c r="D7">
        <v>40</v>
      </c>
      <c r="E7" t="s">
        <v>38</v>
      </c>
      <c r="F7" t="s">
        <v>43</v>
      </c>
      <c r="G7" t="s">
        <v>24</v>
      </c>
      <c r="H7" t="s">
        <v>52</v>
      </c>
      <c r="I7">
        <v>7</v>
      </c>
      <c r="J7">
        <v>70648</v>
      </c>
      <c r="K7" t="s">
        <v>26</v>
      </c>
      <c r="L7">
        <v>4</v>
      </c>
      <c r="M7">
        <v>24</v>
      </c>
      <c r="N7">
        <v>4</v>
      </c>
      <c r="O7" t="s">
        <v>28</v>
      </c>
      <c r="P7" t="s">
        <v>28</v>
      </c>
      <c r="Q7">
        <v>4</v>
      </c>
      <c r="R7" t="s">
        <v>27</v>
      </c>
      <c r="S7" t="s">
        <v>27</v>
      </c>
    </row>
    <row r="8" spans="1:19" x14ac:dyDescent="0.35">
      <c r="A8" t="s">
        <v>53</v>
      </c>
      <c r="B8" t="s">
        <v>54</v>
      </c>
      <c r="C8" t="s">
        <v>21</v>
      </c>
      <c r="D8">
        <v>55</v>
      </c>
      <c r="E8" t="s">
        <v>55</v>
      </c>
      <c r="F8" t="s">
        <v>23</v>
      </c>
      <c r="G8" t="s">
        <v>24</v>
      </c>
      <c r="H8" t="s">
        <v>52</v>
      </c>
      <c r="I8">
        <v>20</v>
      </c>
      <c r="J8">
        <v>82000</v>
      </c>
      <c r="K8" t="s">
        <v>26</v>
      </c>
      <c r="L8">
        <v>4</v>
      </c>
      <c r="M8">
        <v>33</v>
      </c>
      <c r="N8">
        <v>3</v>
      </c>
      <c r="O8" t="s">
        <v>27</v>
      </c>
      <c r="P8" t="s">
        <v>27</v>
      </c>
      <c r="Q8">
        <v>5</v>
      </c>
      <c r="R8" t="s">
        <v>28</v>
      </c>
      <c r="S8" t="s">
        <v>27</v>
      </c>
    </row>
    <row r="9" spans="1:19" x14ac:dyDescent="0.35">
      <c r="A9" t="s">
        <v>56</v>
      </c>
      <c r="B9" t="s">
        <v>57</v>
      </c>
      <c r="C9" t="s">
        <v>31</v>
      </c>
      <c r="D9">
        <v>49</v>
      </c>
      <c r="E9" t="s">
        <v>55</v>
      </c>
      <c r="F9" t="s">
        <v>43</v>
      </c>
      <c r="G9" t="s">
        <v>24</v>
      </c>
      <c r="H9" t="s">
        <v>34</v>
      </c>
      <c r="I9">
        <v>11</v>
      </c>
      <c r="J9">
        <v>81888</v>
      </c>
      <c r="K9" t="s">
        <v>26</v>
      </c>
      <c r="L9">
        <v>4</v>
      </c>
      <c r="M9">
        <v>25</v>
      </c>
      <c r="N9">
        <v>6</v>
      </c>
      <c r="O9" t="s">
        <v>28</v>
      </c>
      <c r="P9" t="s">
        <v>27</v>
      </c>
      <c r="Q9">
        <v>5</v>
      </c>
      <c r="R9" t="s">
        <v>28</v>
      </c>
      <c r="S9" t="s">
        <v>27</v>
      </c>
    </row>
    <row r="10" spans="1:19" x14ac:dyDescent="0.35">
      <c r="A10" t="s">
        <v>58</v>
      </c>
      <c r="B10" t="s">
        <v>59</v>
      </c>
      <c r="C10" t="s">
        <v>21</v>
      </c>
      <c r="D10">
        <v>48</v>
      </c>
      <c r="E10" t="s">
        <v>38</v>
      </c>
      <c r="F10" t="s">
        <v>60</v>
      </c>
      <c r="G10" t="s">
        <v>44</v>
      </c>
      <c r="H10" t="s">
        <v>61</v>
      </c>
      <c r="I10">
        <v>19</v>
      </c>
      <c r="J10">
        <v>64723</v>
      </c>
      <c r="K10" t="s">
        <v>26</v>
      </c>
      <c r="L10">
        <v>4</v>
      </c>
      <c r="M10">
        <v>15</v>
      </c>
      <c r="N10">
        <v>5</v>
      </c>
      <c r="O10" t="s">
        <v>27</v>
      </c>
      <c r="P10" t="s">
        <v>28</v>
      </c>
      <c r="Q10">
        <v>2</v>
      </c>
      <c r="R10" t="s">
        <v>27</v>
      </c>
      <c r="S10" t="s">
        <v>27</v>
      </c>
    </row>
    <row r="11" spans="1:19" x14ac:dyDescent="0.35">
      <c r="A11" t="s">
        <v>62</v>
      </c>
      <c r="B11" t="s">
        <v>63</v>
      </c>
      <c r="C11" t="s">
        <v>21</v>
      </c>
      <c r="D11">
        <v>35</v>
      </c>
      <c r="E11" t="s">
        <v>55</v>
      </c>
      <c r="F11" t="s">
        <v>64</v>
      </c>
      <c r="G11" t="s">
        <v>24</v>
      </c>
      <c r="H11" t="s">
        <v>61</v>
      </c>
      <c r="I11">
        <v>5</v>
      </c>
      <c r="J11">
        <v>52115</v>
      </c>
      <c r="K11" t="s">
        <v>45</v>
      </c>
      <c r="L11">
        <v>8</v>
      </c>
      <c r="M11">
        <v>26</v>
      </c>
      <c r="N11">
        <v>8</v>
      </c>
      <c r="O11" t="s">
        <v>28</v>
      </c>
      <c r="P11" t="s">
        <v>27</v>
      </c>
      <c r="Q11">
        <v>4</v>
      </c>
      <c r="R11" t="s">
        <v>27</v>
      </c>
      <c r="S11" t="s">
        <v>27</v>
      </c>
    </row>
    <row r="12" spans="1:19" x14ac:dyDescent="0.35">
      <c r="A12" t="s">
        <v>65</v>
      </c>
      <c r="B12" t="s">
        <v>66</v>
      </c>
      <c r="C12" t="s">
        <v>21</v>
      </c>
      <c r="D12">
        <v>43</v>
      </c>
      <c r="E12" t="s">
        <v>22</v>
      </c>
      <c r="F12" t="s">
        <v>48</v>
      </c>
      <c r="G12" t="s">
        <v>44</v>
      </c>
      <c r="H12" t="s">
        <v>49</v>
      </c>
      <c r="I12">
        <v>18</v>
      </c>
      <c r="J12">
        <v>-5000</v>
      </c>
      <c r="K12" t="s">
        <v>35</v>
      </c>
      <c r="L12">
        <v>3</v>
      </c>
      <c r="M12">
        <v>24</v>
      </c>
      <c r="N12">
        <v>1</v>
      </c>
      <c r="O12" t="s">
        <v>27</v>
      </c>
      <c r="P12" t="s">
        <v>28</v>
      </c>
      <c r="Q12">
        <v>1</v>
      </c>
      <c r="R12" t="s">
        <v>28</v>
      </c>
      <c r="S12" t="s">
        <v>27</v>
      </c>
    </row>
    <row r="13" spans="1:19" x14ac:dyDescent="0.35">
      <c r="A13" t="s">
        <v>67</v>
      </c>
      <c r="B13" t="s">
        <v>68</v>
      </c>
      <c r="C13" t="s">
        <v>21</v>
      </c>
      <c r="D13">
        <v>35</v>
      </c>
      <c r="E13" t="s">
        <v>55</v>
      </c>
      <c r="F13" t="s">
        <v>23</v>
      </c>
      <c r="G13" t="s">
        <v>69</v>
      </c>
      <c r="H13" t="s">
        <v>70</v>
      </c>
      <c r="I13">
        <v>7</v>
      </c>
      <c r="J13">
        <v>65556</v>
      </c>
      <c r="K13" t="s">
        <v>45</v>
      </c>
      <c r="L13">
        <v>8</v>
      </c>
      <c r="M13">
        <v>11</v>
      </c>
      <c r="N13">
        <v>4</v>
      </c>
      <c r="O13" t="s">
        <v>27</v>
      </c>
      <c r="P13" t="s">
        <v>28</v>
      </c>
      <c r="Q13">
        <v>2</v>
      </c>
      <c r="R13" t="s">
        <v>27</v>
      </c>
      <c r="S13" t="s">
        <v>27</v>
      </c>
    </row>
    <row r="14" spans="1:19" x14ac:dyDescent="0.35">
      <c r="A14" t="s">
        <v>71</v>
      </c>
      <c r="B14" t="s">
        <v>72</v>
      </c>
      <c r="C14" t="s">
        <v>31</v>
      </c>
      <c r="D14">
        <v>26</v>
      </c>
      <c r="E14" t="s">
        <v>55</v>
      </c>
      <c r="F14" t="s">
        <v>60</v>
      </c>
      <c r="G14" t="s">
        <v>24</v>
      </c>
      <c r="H14" t="s">
        <v>49</v>
      </c>
      <c r="I14">
        <v>2</v>
      </c>
      <c r="J14">
        <v>62067</v>
      </c>
      <c r="K14" t="s">
        <v>40</v>
      </c>
      <c r="L14">
        <v>1</v>
      </c>
      <c r="M14">
        <v>41</v>
      </c>
      <c r="N14">
        <v>0</v>
      </c>
      <c r="O14" t="s">
        <v>28</v>
      </c>
      <c r="P14" t="s">
        <v>28</v>
      </c>
      <c r="Q14">
        <v>2</v>
      </c>
      <c r="R14" t="s">
        <v>27</v>
      </c>
      <c r="S14" t="s">
        <v>27</v>
      </c>
    </row>
    <row r="15" spans="1:19" x14ac:dyDescent="0.35">
      <c r="A15" t="s">
        <v>73</v>
      </c>
      <c r="B15" t="s">
        <v>74</v>
      </c>
      <c r="C15" t="s">
        <v>31</v>
      </c>
      <c r="D15">
        <v>53</v>
      </c>
      <c r="E15" t="s">
        <v>38</v>
      </c>
      <c r="F15" t="s">
        <v>33</v>
      </c>
      <c r="G15" t="s">
        <v>24</v>
      </c>
      <c r="H15" t="s">
        <v>70</v>
      </c>
      <c r="I15">
        <v>14</v>
      </c>
      <c r="J15">
        <v>75991</v>
      </c>
      <c r="K15" t="s">
        <v>45</v>
      </c>
      <c r="L15">
        <v>4</v>
      </c>
      <c r="M15">
        <v>27</v>
      </c>
      <c r="N15">
        <v>4</v>
      </c>
      <c r="O15" t="s">
        <v>27</v>
      </c>
      <c r="P15" t="s">
        <v>27</v>
      </c>
      <c r="Q15">
        <v>1</v>
      </c>
      <c r="R15" t="s">
        <v>28</v>
      </c>
      <c r="S15" t="s">
        <v>27</v>
      </c>
    </row>
    <row r="16" spans="1:19" x14ac:dyDescent="0.35">
      <c r="A16" t="s">
        <v>75</v>
      </c>
      <c r="B16" t="s">
        <v>76</v>
      </c>
      <c r="C16" t="s">
        <v>21</v>
      </c>
      <c r="D16">
        <v>26</v>
      </c>
      <c r="E16" t="s">
        <v>32</v>
      </c>
      <c r="F16" t="s">
        <v>23</v>
      </c>
      <c r="G16" t="s">
        <v>44</v>
      </c>
      <c r="H16" t="s">
        <v>25</v>
      </c>
      <c r="I16">
        <v>4</v>
      </c>
      <c r="J16">
        <v>68492</v>
      </c>
      <c r="K16" t="s">
        <v>40</v>
      </c>
      <c r="L16">
        <v>6</v>
      </c>
      <c r="M16">
        <v>36</v>
      </c>
      <c r="N16">
        <v>4</v>
      </c>
      <c r="O16" t="s">
        <v>27</v>
      </c>
      <c r="P16" t="s">
        <v>27</v>
      </c>
      <c r="Q16">
        <v>5</v>
      </c>
      <c r="R16" t="s">
        <v>27</v>
      </c>
      <c r="S16" t="s">
        <v>27</v>
      </c>
    </row>
    <row r="17" spans="1:19" x14ac:dyDescent="0.35">
      <c r="A17" t="s">
        <v>77</v>
      </c>
      <c r="B17" t="s">
        <v>78</v>
      </c>
      <c r="C17" t="s">
        <v>31</v>
      </c>
      <c r="D17">
        <v>44</v>
      </c>
      <c r="E17" t="s">
        <v>38</v>
      </c>
      <c r="F17" t="s">
        <v>43</v>
      </c>
      <c r="G17" t="s">
        <v>24</v>
      </c>
      <c r="H17" t="s">
        <v>34</v>
      </c>
      <c r="I17">
        <v>13</v>
      </c>
      <c r="J17">
        <v>82000</v>
      </c>
      <c r="K17" t="s">
        <v>26</v>
      </c>
      <c r="L17">
        <v>1</v>
      </c>
      <c r="M17">
        <v>14</v>
      </c>
      <c r="N17">
        <v>3</v>
      </c>
      <c r="O17" t="s">
        <v>27</v>
      </c>
      <c r="P17" t="s">
        <v>27</v>
      </c>
      <c r="Q17">
        <v>4</v>
      </c>
      <c r="R17" t="s">
        <v>27</v>
      </c>
      <c r="S17" t="s">
        <v>27</v>
      </c>
    </row>
    <row r="18" spans="1:19" x14ac:dyDescent="0.35">
      <c r="A18" t="s">
        <v>79</v>
      </c>
      <c r="B18" t="s">
        <v>80</v>
      </c>
      <c r="C18" t="s">
        <v>21</v>
      </c>
      <c r="D18">
        <v>29</v>
      </c>
      <c r="E18" t="s">
        <v>55</v>
      </c>
      <c r="F18" t="s">
        <v>33</v>
      </c>
      <c r="G18" t="s">
        <v>24</v>
      </c>
      <c r="H18" t="s">
        <v>34</v>
      </c>
      <c r="I18">
        <v>4</v>
      </c>
      <c r="J18">
        <v>58545</v>
      </c>
      <c r="K18" t="s">
        <v>45</v>
      </c>
      <c r="L18">
        <v>1</v>
      </c>
      <c r="M18">
        <v>19</v>
      </c>
      <c r="N18">
        <v>5</v>
      </c>
      <c r="O18" t="s">
        <v>27</v>
      </c>
      <c r="P18" t="s">
        <v>28</v>
      </c>
      <c r="Q18">
        <v>2</v>
      </c>
      <c r="R18" t="s">
        <v>28</v>
      </c>
      <c r="S18" t="s">
        <v>28</v>
      </c>
    </row>
    <row r="19" spans="1:19" x14ac:dyDescent="0.35">
      <c r="A19" t="s">
        <v>81</v>
      </c>
      <c r="B19" t="s">
        <v>82</v>
      </c>
      <c r="C19" t="s">
        <v>31</v>
      </c>
      <c r="D19">
        <v>34</v>
      </c>
      <c r="E19" t="s">
        <v>55</v>
      </c>
      <c r="F19" t="s">
        <v>33</v>
      </c>
      <c r="G19" t="s">
        <v>24</v>
      </c>
      <c r="H19" t="s">
        <v>49</v>
      </c>
      <c r="I19">
        <v>6</v>
      </c>
      <c r="J19">
        <v>59412</v>
      </c>
      <c r="K19" t="s">
        <v>45</v>
      </c>
      <c r="L19">
        <v>8</v>
      </c>
      <c r="M19">
        <v>14</v>
      </c>
      <c r="N19">
        <v>3</v>
      </c>
      <c r="O19" t="s">
        <v>28</v>
      </c>
      <c r="P19" t="s">
        <v>28</v>
      </c>
      <c r="Q19">
        <v>2</v>
      </c>
      <c r="R19" t="s">
        <v>27</v>
      </c>
      <c r="S19" t="s">
        <v>27</v>
      </c>
    </row>
    <row r="20" spans="1:19" x14ac:dyDescent="0.35">
      <c r="A20" t="s">
        <v>83</v>
      </c>
      <c r="B20" t="s">
        <v>84</v>
      </c>
      <c r="C20" t="s">
        <v>21</v>
      </c>
      <c r="D20">
        <v>35</v>
      </c>
      <c r="E20" t="s">
        <v>55</v>
      </c>
      <c r="F20" t="s">
        <v>43</v>
      </c>
      <c r="G20" t="s">
        <v>24</v>
      </c>
      <c r="H20" t="s">
        <v>49</v>
      </c>
      <c r="I20">
        <v>6</v>
      </c>
      <c r="J20">
        <v>62147</v>
      </c>
      <c r="K20" t="s">
        <v>26</v>
      </c>
      <c r="L20">
        <v>3</v>
      </c>
      <c r="M20">
        <v>50</v>
      </c>
      <c r="N20">
        <v>5</v>
      </c>
      <c r="O20" t="s">
        <v>27</v>
      </c>
      <c r="P20" t="s">
        <v>28</v>
      </c>
      <c r="Q20">
        <v>2</v>
      </c>
      <c r="R20" t="s">
        <v>27</v>
      </c>
      <c r="S20" t="s">
        <v>27</v>
      </c>
    </row>
    <row r="21" spans="1:19" x14ac:dyDescent="0.35">
      <c r="A21" t="s">
        <v>85</v>
      </c>
      <c r="B21" t="s">
        <v>86</v>
      </c>
      <c r="C21" t="s">
        <v>31</v>
      </c>
      <c r="D21">
        <v>35</v>
      </c>
      <c r="E21" t="s">
        <v>55</v>
      </c>
      <c r="F21" t="s">
        <v>33</v>
      </c>
      <c r="G21" t="s">
        <v>24</v>
      </c>
      <c r="H21" t="s">
        <v>52</v>
      </c>
      <c r="I21">
        <v>11</v>
      </c>
      <c r="J21">
        <v>64949</v>
      </c>
      <c r="K21" t="s">
        <v>26</v>
      </c>
      <c r="L21">
        <v>7</v>
      </c>
      <c r="M21">
        <v>37</v>
      </c>
      <c r="N21">
        <v>6</v>
      </c>
      <c r="O21" t="s">
        <v>28</v>
      </c>
      <c r="P21" t="s">
        <v>28</v>
      </c>
      <c r="Q21">
        <v>1</v>
      </c>
      <c r="R21" t="s">
        <v>27</v>
      </c>
      <c r="S21" t="s">
        <v>27</v>
      </c>
    </row>
    <row r="22" spans="1:19" x14ac:dyDescent="0.35">
      <c r="A22" t="s">
        <v>87</v>
      </c>
      <c r="B22" t="s">
        <v>88</v>
      </c>
      <c r="C22" t="s">
        <v>21</v>
      </c>
      <c r="D22">
        <v>23</v>
      </c>
      <c r="E22" t="s">
        <v>55</v>
      </c>
      <c r="F22" t="s">
        <v>33</v>
      </c>
      <c r="G22" t="s">
        <v>24</v>
      </c>
      <c r="H22" t="s">
        <v>49</v>
      </c>
      <c r="I22">
        <v>2</v>
      </c>
      <c r="J22">
        <v>45625</v>
      </c>
      <c r="K22" t="s">
        <v>45</v>
      </c>
      <c r="L22">
        <v>1</v>
      </c>
      <c r="M22">
        <v>60</v>
      </c>
      <c r="N22">
        <v>1</v>
      </c>
      <c r="O22" t="s">
        <v>28</v>
      </c>
      <c r="P22" t="s">
        <v>28</v>
      </c>
      <c r="Q22">
        <v>4</v>
      </c>
      <c r="R22" t="s">
        <v>27</v>
      </c>
      <c r="S22" t="s">
        <v>27</v>
      </c>
    </row>
    <row r="23" spans="1:19" x14ac:dyDescent="0.35">
      <c r="A23" t="s">
        <v>89</v>
      </c>
      <c r="B23" t="s">
        <v>90</v>
      </c>
      <c r="C23" t="s">
        <v>31</v>
      </c>
      <c r="D23">
        <v>41</v>
      </c>
      <c r="E23" t="s">
        <v>55</v>
      </c>
      <c r="F23" t="s">
        <v>33</v>
      </c>
      <c r="G23" t="s">
        <v>44</v>
      </c>
      <c r="H23" t="s">
        <v>25</v>
      </c>
      <c r="I23">
        <v>16</v>
      </c>
      <c r="J23">
        <v>71425</v>
      </c>
      <c r="K23" t="s">
        <v>40</v>
      </c>
      <c r="L23">
        <v>4</v>
      </c>
      <c r="M23">
        <v>23</v>
      </c>
      <c r="N23">
        <v>7</v>
      </c>
      <c r="O23" t="s">
        <v>28</v>
      </c>
      <c r="P23" t="s">
        <v>27</v>
      </c>
      <c r="Q23">
        <v>1</v>
      </c>
      <c r="R23" t="s">
        <v>27</v>
      </c>
      <c r="S23" t="s">
        <v>28</v>
      </c>
    </row>
    <row r="24" spans="1:19" x14ac:dyDescent="0.35">
      <c r="A24" t="s">
        <v>91</v>
      </c>
      <c r="B24" t="s">
        <v>92</v>
      </c>
      <c r="C24" t="s">
        <v>21</v>
      </c>
      <c r="D24">
        <v>50</v>
      </c>
      <c r="E24" t="s">
        <v>55</v>
      </c>
      <c r="F24" t="s">
        <v>39</v>
      </c>
      <c r="G24" t="s">
        <v>69</v>
      </c>
      <c r="H24" t="s">
        <v>52</v>
      </c>
      <c r="I24">
        <v>14</v>
      </c>
      <c r="J24">
        <v>71060</v>
      </c>
      <c r="K24" t="s">
        <v>45</v>
      </c>
      <c r="L24">
        <v>1</v>
      </c>
      <c r="M24">
        <v>18</v>
      </c>
      <c r="N24">
        <v>4</v>
      </c>
      <c r="O24" t="s">
        <v>27</v>
      </c>
      <c r="P24" t="s">
        <v>28</v>
      </c>
      <c r="Q24">
        <v>3</v>
      </c>
      <c r="R24" t="s">
        <v>28</v>
      </c>
      <c r="S24" t="s">
        <v>28</v>
      </c>
    </row>
    <row r="25" spans="1:19" x14ac:dyDescent="0.35">
      <c r="A25" t="s">
        <v>93</v>
      </c>
      <c r="B25" t="s">
        <v>94</v>
      </c>
      <c r="C25" t="s">
        <v>31</v>
      </c>
      <c r="D25">
        <v>36</v>
      </c>
      <c r="E25" t="s">
        <v>55</v>
      </c>
      <c r="F25" t="s">
        <v>23</v>
      </c>
      <c r="G25" t="s">
        <v>44</v>
      </c>
      <c r="H25" t="s">
        <v>52</v>
      </c>
      <c r="I25">
        <v>7</v>
      </c>
      <c r="J25">
        <v>55216</v>
      </c>
      <c r="K25" t="s">
        <v>45</v>
      </c>
      <c r="L25">
        <v>1</v>
      </c>
      <c r="M25">
        <v>39</v>
      </c>
      <c r="N25">
        <v>1</v>
      </c>
      <c r="O25" t="s">
        <v>27</v>
      </c>
      <c r="P25" t="s">
        <v>28</v>
      </c>
      <c r="Q25">
        <v>5</v>
      </c>
      <c r="R25" t="s">
        <v>27</v>
      </c>
      <c r="S25" t="s">
        <v>27</v>
      </c>
    </row>
    <row r="26" spans="1:19" x14ac:dyDescent="0.35">
      <c r="A26" t="s">
        <v>95</v>
      </c>
      <c r="B26" t="s">
        <v>96</v>
      </c>
      <c r="C26" t="s">
        <v>21</v>
      </c>
      <c r="D26">
        <v>43</v>
      </c>
      <c r="E26" t="s">
        <v>55</v>
      </c>
      <c r="F26" t="s">
        <v>48</v>
      </c>
      <c r="G26" t="s">
        <v>24</v>
      </c>
      <c r="H26" t="s">
        <v>52</v>
      </c>
      <c r="I26">
        <v>13</v>
      </c>
      <c r="J26">
        <v>50676</v>
      </c>
      <c r="K26" t="s">
        <v>45</v>
      </c>
      <c r="L26">
        <v>4</v>
      </c>
      <c r="M26">
        <v>34</v>
      </c>
      <c r="N26">
        <v>4</v>
      </c>
      <c r="O26" t="s">
        <v>27</v>
      </c>
      <c r="P26" t="s">
        <v>28</v>
      </c>
      <c r="Q26">
        <v>2</v>
      </c>
      <c r="R26" t="s">
        <v>27</v>
      </c>
      <c r="S26" t="s">
        <v>27</v>
      </c>
    </row>
    <row r="27" spans="1:19" x14ac:dyDescent="0.35">
      <c r="A27" t="s">
        <v>97</v>
      </c>
      <c r="B27" t="s">
        <v>98</v>
      </c>
      <c r="C27" t="s">
        <v>31</v>
      </c>
      <c r="D27">
        <v>41</v>
      </c>
      <c r="E27" t="s">
        <v>55</v>
      </c>
      <c r="F27" t="s">
        <v>60</v>
      </c>
      <c r="G27" t="s">
        <v>24</v>
      </c>
      <c r="H27" t="s">
        <v>34</v>
      </c>
      <c r="I27">
        <v>7</v>
      </c>
      <c r="J27">
        <v>42979</v>
      </c>
      <c r="K27" t="s">
        <v>45</v>
      </c>
      <c r="L27">
        <v>4</v>
      </c>
      <c r="M27">
        <v>2</v>
      </c>
      <c r="N27">
        <v>5</v>
      </c>
      <c r="O27" t="s">
        <v>27</v>
      </c>
      <c r="P27" t="s">
        <v>28</v>
      </c>
      <c r="Q27">
        <v>2</v>
      </c>
      <c r="R27" t="s">
        <v>27</v>
      </c>
      <c r="S27" t="s">
        <v>27</v>
      </c>
    </row>
    <row r="28" spans="1:19" x14ac:dyDescent="0.35">
      <c r="A28" t="s">
        <v>99</v>
      </c>
      <c r="B28" t="s">
        <v>100</v>
      </c>
      <c r="C28" t="s">
        <v>31</v>
      </c>
      <c r="D28">
        <v>47</v>
      </c>
      <c r="E28" t="s">
        <v>38</v>
      </c>
      <c r="F28" t="s">
        <v>23</v>
      </c>
      <c r="G28" t="s">
        <v>24</v>
      </c>
      <c r="H28" t="s">
        <v>25</v>
      </c>
      <c r="I28">
        <v>19</v>
      </c>
      <c r="J28">
        <v>77478</v>
      </c>
      <c r="K28" t="s">
        <v>26</v>
      </c>
      <c r="L28">
        <v>1</v>
      </c>
      <c r="M28">
        <v>15</v>
      </c>
      <c r="N28">
        <v>1</v>
      </c>
      <c r="O28" t="s">
        <v>27</v>
      </c>
      <c r="P28" t="s">
        <v>28</v>
      </c>
      <c r="Q28">
        <v>3</v>
      </c>
      <c r="R28" t="s">
        <v>28</v>
      </c>
      <c r="S28" t="s">
        <v>27</v>
      </c>
    </row>
    <row r="29" spans="1:19" x14ac:dyDescent="0.35">
      <c r="A29" t="s">
        <v>101</v>
      </c>
      <c r="B29" t="s">
        <v>102</v>
      </c>
      <c r="C29" t="s">
        <v>21</v>
      </c>
      <c r="D29">
        <v>31</v>
      </c>
      <c r="E29" t="s">
        <v>55</v>
      </c>
      <c r="F29" t="s">
        <v>48</v>
      </c>
      <c r="G29" t="s">
        <v>24</v>
      </c>
      <c r="H29" t="s">
        <v>70</v>
      </c>
      <c r="I29">
        <v>7</v>
      </c>
      <c r="J29">
        <v>53535</v>
      </c>
      <c r="K29" t="s">
        <v>45</v>
      </c>
      <c r="L29">
        <v>8</v>
      </c>
      <c r="M29">
        <v>26</v>
      </c>
      <c r="N29">
        <v>2</v>
      </c>
      <c r="O29" t="s">
        <v>27</v>
      </c>
      <c r="P29" t="s">
        <v>28</v>
      </c>
      <c r="Q29">
        <v>5</v>
      </c>
      <c r="R29" t="s">
        <v>27</v>
      </c>
      <c r="S29" t="s">
        <v>27</v>
      </c>
    </row>
    <row r="30" spans="1:19" x14ac:dyDescent="0.35">
      <c r="A30" t="s">
        <v>103</v>
      </c>
      <c r="B30" t="s">
        <v>104</v>
      </c>
      <c r="C30" t="s">
        <v>21</v>
      </c>
      <c r="D30">
        <v>23</v>
      </c>
      <c r="E30" t="s">
        <v>55</v>
      </c>
      <c r="F30" t="s">
        <v>23</v>
      </c>
      <c r="G30" t="s">
        <v>24</v>
      </c>
      <c r="H30" t="s">
        <v>52</v>
      </c>
      <c r="I30">
        <v>1</v>
      </c>
      <c r="J30">
        <v>66593</v>
      </c>
      <c r="K30" t="s">
        <v>45</v>
      </c>
      <c r="L30">
        <v>10</v>
      </c>
      <c r="M30">
        <v>20</v>
      </c>
      <c r="N30">
        <v>5</v>
      </c>
      <c r="O30" t="s">
        <v>27</v>
      </c>
      <c r="P30" t="s">
        <v>28</v>
      </c>
      <c r="Q30">
        <v>2</v>
      </c>
      <c r="R30" t="s">
        <v>27</v>
      </c>
      <c r="S30" t="s">
        <v>27</v>
      </c>
    </row>
    <row r="31" spans="1:19" x14ac:dyDescent="0.35">
      <c r="A31" t="s">
        <v>105</v>
      </c>
      <c r="B31" t="s">
        <v>106</v>
      </c>
      <c r="C31" t="s">
        <v>21</v>
      </c>
      <c r="D31">
        <v>35</v>
      </c>
      <c r="E31" t="s">
        <v>22</v>
      </c>
      <c r="F31" t="s">
        <v>39</v>
      </c>
      <c r="G31" t="s">
        <v>24</v>
      </c>
      <c r="H31" t="s">
        <v>25</v>
      </c>
      <c r="I31">
        <v>8</v>
      </c>
      <c r="J31">
        <v>40704</v>
      </c>
      <c r="K31" t="s">
        <v>26</v>
      </c>
      <c r="L31">
        <v>1</v>
      </c>
      <c r="M31">
        <v>36</v>
      </c>
      <c r="N31">
        <v>3</v>
      </c>
      <c r="O31" t="s">
        <v>28</v>
      </c>
      <c r="P31" t="s">
        <v>27</v>
      </c>
      <c r="Q31">
        <v>1</v>
      </c>
      <c r="R31" t="s">
        <v>27</v>
      </c>
      <c r="S31" t="s">
        <v>27</v>
      </c>
    </row>
    <row r="32" spans="1:19" x14ac:dyDescent="0.35">
      <c r="A32" t="s">
        <v>107</v>
      </c>
      <c r="B32" t="s">
        <v>108</v>
      </c>
      <c r="C32" t="s">
        <v>31</v>
      </c>
      <c r="D32">
        <v>40</v>
      </c>
      <c r="E32" t="s">
        <v>38</v>
      </c>
      <c r="F32" t="s">
        <v>43</v>
      </c>
      <c r="G32" t="s">
        <v>24</v>
      </c>
      <c r="H32" t="s">
        <v>34</v>
      </c>
      <c r="I32">
        <v>9</v>
      </c>
      <c r="J32">
        <v>65443</v>
      </c>
      <c r="K32" t="s">
        <v>45</v>
      </c>
      <c r="L32">
        <v>8</v>
      </c>
      <c r="M32">
        <v>44</v>
      </c>
      <c r="N32">
        <v>6</v>
      </c>
      <c r="O32" t="s">
        <v>28</v>
      </c>
      <c r="P32" t="s">
        <v>27</v>
      </c>
      <c r="Q32">
        <v>2</v>
      </c>
      <c r="R32" t="s">
        <v>27</v>
      </c>
      <c r="S32" t="s">
        <v>27</v>
      </c>
    </row>
    <row r="33" spans="1:19" x14ac:dyDescent="0.35">
      <c r="A33" t="s">
        <v>109</v>
      </c>
      <c r="B33" t="s">
        <v>110</v>
      </c>
      <c r="C33" t="s">
        <v>21</v>
      </c>
      <c r="D33">
        <v>46</v>
      </c>
      <c r="E33" t="s">
        <v>38</v>
      </c>
      <c r="F33" t="s">
        <v>43</v>
      </c>
      <c r="G33" t="s">
        <v>24</v>
      </c>
      <c r="H33" t="s">
        <v>52</v>
      </c>
      <c r="I33">
        <v>17</v>
      </c>
      <c r="J33">
        <v>78832</v>
      </c>
      <c r="K33" t="s">
        <v>45</v>
      </c>
      <c r="L33">
        <v>6</v>
      </c>
      <c r="M33">
        <v>42</v>
      </c>
      <c r="N33">
        <v>5</v>
      </c>
      <c r="O33" t="s">
        <v>27</v>
      </c>
      <c r="P33" t="s">
        <v>28</v>
      </c>
      <c r="Q33">
        <v>3</v>
      </c>
      <c r="R33" t="s">
        <v>27</v>
      </c>
      <c r="S33" t="s">
        <v>27</v>
      </c>
    </row>
    <row r="34" spans="1:19" x14ac:dyDescent="0.35">
      <c r="A34" t="s">
        <v>111</v>
      </c>
      <c r="B34" t="s">
        <v>112</v>
      </c>
      <c r="C34" t="s">
        <v>31</v>
      </c>
      <c r="D34">
        <v>51</v>
      </c>
      <c r="E34" t="s">
        <v>55</v>
      </c>
      <c r="F34" t="s">
        <v>23</v>
      </c>
      <c r="G34" t="s">
        <v>24</v>
      </c>
      <c r="H34" t="s">
        <v>34</v>
      </c>
      <c r="I34">
        <v>18</v>
      </c>
      <c r="J34">
        <v>81878</v>
      </c>
      <c r="K34" t="s">
        <v>45</v>
      </c>
      <c r="L34">
        <v>10</v>
      </c>
      <c r="M34">
        <v>38</v>
      </c>
      <c r="N34">
        <v>4</v>
      </c>
      <c r="O34" t="s">
        <v>27</v>
      </c>
      <c r="P34" t="s">
        <v>28</v>
      </c>
      <c r="Q34">
        <v>3</v>
      </c>
      <c r="R34" t="s">
        <v>28</v>
      </c>
      <c r="S34" t="s">
        <v>27</v>
      </c>
    </row>
    <row r="35" spans="1:19" x14ac:dyDescent="0.35">
      <c r="A35" t="s">
        <v>113</v>
      </c>
      <c r="B35" t="s">
        <v>114</v>
      </c>
      <c r="C35" t="s">
        <v>31</v>
      </c>
      <c r="D35">
        <v>42</v>
      </c>
      <c r="E35" t="s">
        <v>38</v>
      </c>
      <c r="F35" t="s">
        <v>33</v>
      </c>
      <c r="G35" t="s">
        <v>69</v>
      </c>
      <c r="H35" t="s">
        <v>61</v>
      </c>
      <c r="I35">
        <v>8</v>
      </c>
      <c r="J35">
        <v>60371</v>
      </c>
      <c r="K35" t="s">
        <v>45</v>
      </c>
      <c r="L35">
        <v>4</v>
      </c>
      <c r="M35">
        <v>23</v>
      </c>
      <c r="N35">
        <v>5</v>
      </c>
      <c r="O35" t="s">
        <v>27</v>
      </c>
      <c r="P35" t="s">
        <v>27</v>
      </c>
      <c r="Q35">
        <v>2</v>
      </c>
      <c r="R35" t="s">
        <v>28</v>
      </c>
      <c r="S35" t="s">
        <v>27</v>
      </c>
    </row>
    <row r="36" spans="1:19" x14ac:dyDescent="0.35">
      <c r="A36" t="s">
        <v>115</v>
      </c>
      <c r="B36" t="s">
        <v>116</v>
      </c>
      <c r="C36" t="s">
        <v>31</v>
      </c>
      <c r="D36">
        <v>33</v>
      </c>
      <c r="E36" t="s">
        <v>55</v>
      </c>
      <c r="F36" t="s">
        <v>43</v>
      </c>
      <c r="G36" t="s">
        <v>24</v>
      </c>
      <c r="H36" t="s">
        <v>25</v>
      </c>
      <c r="I36">
        <v>5</v>
      </c>
      <c r="J36">
        <v>82000</v>
      </c>
      <c r="K36" t="s">
        <v>26</v>
      </c>
      <c r="L36">
        <v>9</v>
      </c>
      <c r="M36">
        <v>13</v>
      </c>
      <c r="N36">
        <v>3</v>
      </c>
      <c r="O36" t="s">
        <v>27</v>
      </c>
      <c r="P36" t="s">
        <v>28</v>
      </c>
      <c r="Q36">
        <v>4</v>
      </c>
      <c r="R36" t="s">
        <v>27</v>
      </c>
      <c r="S36" t="s">
        <v>27</v>
      </c>
    </row>
    <row r="37" spans="1:19" x14ac:dyDescent="0.35">
      <c r="A37" t="s">
        <v>117</v>
      </c>
      <c r="B37" t="s">
        <v>118</v>
      </c>
      <c r="C37" t="s">
        <v>31</v>
      </c>
      <c r="D37">
        <v>47</v>
      </c>
      <c r="E37" t="s">
        <v>55</v>
      </c>
      <c r="F37" t="s">
        <v>23</v>
      </c>
      <c r="G37" t="s">
        <v>24</v>
      </c>
      <c r="H37" t="s">
        <v>61</v>
      </c>
      <c r="I37">
        <v>11</v>
      </c>
      <c r="J37">
        <v>72841</v>
      </c>
      <c r="K37" t="s">
        <v>45</v>
      </c>
      <c r="L37">
        <v>7</v>
      </c>
      <c r="M37">
        <v>29</v>
      </c>
      <c r="N37">
        <v>4</v>
      </c>
      <c r="O37" t="s">
        <v>27</v>
      </c>
      <c r="P37" t="s">
        <v>27</v>
      </c>
      <c r="Q37">
        <v>1</v>
      </c>
      <c r="R37" t="s">
        <v>27</v>
      </c>
      <c r="S37" t="s">
        <v>27</v>
      </c>
    </row>
    <row r="38" spans="1:19" x14ac:dyDescent="0.35">
      <c r="A38" t="s">
        <v>119</v>
      </c>
      <c r="B38" t="s">
        <v>120</v>
      </c>
      <c r="C38" t="s">
        <v>31</v>
      </c>
      <c r="D38">
        <v>54</v>
      </c>
      <c r="E38" t="s">
        <v>55</v>
      </c>
      <c r="F38" t="s">
        <v>64</v>
      </c>
      <c r="G38" t="s">
        <v>24</v>
      </c>
      <c r="H38" t="s">
        <v>25</v>
      </c>
      <c r="I38">
        <v>26</v>
      </c>
      <c r="J38">
        <v>62585</v>
      </c>
      <c r="K38" t="s">
        <v>35</v>
      </c>
      <c r="L38">
        <v>8</v>
      </c>
      <c r="M38">
        <v>42</v>
      </c>
      <c r="N38">
        <v>3</v>
      </c>
      <c r="O38" t="s">
        <v>28</v>
      </c>
      <c r="P38" t="s">
        <v>27</v>
      </c>
      <c r="Q38">
        <v>1</v>
      </c>
      <c r="R38" t="s">
        <v>27</v>
      </c>
      <c r="S38" t="s">
        <v>27</v>
      </c>
    </row>
    <row r="39" spans="1:19" x14ac:dyDescent="0.35">
      <c r="A39" t="s">
        <v>121</v>
      </c>
      <c r="B39" t="s">
        <v>122</v>
      </c>
      <c r="C39" t="s">
        <v>21</v>
      </c>
      <c r="D39">
        <v>53</v>
      </c>
      <c r="E39" t="s">
        <v>22</v>
      </c>
      <c r="F39" t="s">
        <v>39</v>
      </c>
      <c r="G39" t="s">
        <v>44</v>
      </c>
      <c r="H39" t="s">
        <v>61</v>
      </c>
      <c r="I39">
        <v>24</v>
      </c>
      <c r="J39">
        <v>52035</v>
      </c>
      <c r="K39" t="s">
        <v>40</v>
      </c>
      <c r="L39">
        <v>1</v>
      </c>
      <c r="M39">
        <v>17</v>
      </c>
      <c r="N39">
        <v>6</v>
      </c>
      <c r="O39" t="s">
        <v>27</v>
      </c>
      <c r="P39" t="s">
        <v>28</v>
      </c>
      <c r="Q39">
        <v>5</v>
      </c>
      <c r="R39" t="s">
        <v>27</v>
      </c>
      <c r="S39" t="s">
        <v>28</v>
      </c>
    </row>
    <row r="40" spans="1:19" x14ac:dyDescent="0.35">
      <c r="A40" t="s">
        <v>123</v>
      </c>
      <c r="B40" t="s">
        <v>124</v>
      </c>
      <c r="C40" t="s">
        <v>31</v>
      </c>
      <c r="D40">
        <v>54</v>
      </c>
      <c r="E40" t="s">
        <v>55</v>
      </c>
      <c r="F40" t="s">
        <v>48</v>
      </c>
      <c r="G40" t="s">
        <v>24</v>
      </c>
      <c r="H40" t="s">
        <v>25</v>
      </c>
      <c r="I40">
        <v>22</v>
      </c>
      <c r="J40">
        <v>51695</v>
      </c>
      <c r="K40" t="s">
        <v>26</v>
      </c>
      <c r="L40">
        <v>4</v>
      </c>
      <c r="M40">
        <v>34</v>
      </c>
      <c r="N40">
        <v>6</v>
      </c>
      <c r="O40" t="s">
        <v>27</v>
      </c>
      <c r="P40" t="s">
        <v>27</v>
      </c>
      <c r="Q40">
        <v>3</v>
      </c>
      <c r="R40" t="s">
        <v>27</v>
      </c>
      <c r="S40" t="s">
        <v>27</v>
      </c>
    </row>
    <row r="41" spans="1:19" x14ac:dyDescent="0.35">
      <c r="A41" t="s">
        <v>125</v>
      </c>
      <c r="B41" t="s">
        <v>126</v>
      </c>
      <c r="C41" t="s">
        <v>31</v>
      </c>
      <c r="D41">
        <v>54</v>
      </c>
      <c r="E41" t="s">
        <v>22</v>
      </c>
      <c r="F41" t="s">
        <v>39</v>
      </c>
      <c r="G41" t="s">
        <v>69</v>
      </c>
      <c r="H41" t="s">
        <v>61</v>
      </c>
      <c r="I41">
        <v>12</v>
      </c>
      <c r="J41">
        <v>45204</v>
      </c>
      <c r="K41" t="s">
        <v>35</v>
      </c>
      <c r="L41">
        <v>2</v>
      </c>
      <c r="M41">
        <v>20</v>
      </c>
      <c r="N41">
        <v>1</v>
      </c>
      <c r="O41" t="s">
        <v>27</v>
      </c>
      <c r="P41" t="s">
        <v>28</v>
      </c>
      <c r="Q41">
        <v>3</v>
      </c>
      <c r="R41" t="s">
        <v>27</v>
      </c>
      <c r="S41" t="s">
        <v>27</v>
      </c>
    </row>
    <row r="42" spans="1:19" x14ac:dyDescent="0.35">
      <c r="A42" t="s">
        <v>127</v>
      </c>
      <c r="B42" t="s">
        <v>128</v>
      </c>
      <c r="C42" t="s">
        <v>31</v>
      </c>
      <c r="D42">
        <v>53</v>
      </c>
      <c r="E42" t="s">
        <v>38</v>
      </c>
      <c r="F42" t="s">
        <v>60</v>
      </c>
      <c r="G42" t="s">
        <v>69</v>
      </c>
      <c r="H42" t="s">
        <v>70</v>
      </c>
      <c r="I42">
        <v>17</v>
      </c>
      <c r="J42">
        <v>74139</v>
      </c>
      <c r="K42" t="s">
        <v>26</v>
      </c>
      <c r="L42">
        <v>4</v>
      </c>
      <c r="M42">
        <v>55</v>
      </c>
      <c r="N42">
        <v>6</v>
      </c>
      <c r="O42" t="s">
        <v>27</v>
      </c>
      <c r="P42" t="s">
        <v>28</v>
      </c>
      <c r="Q42">
        <v>4</v>
      </c>
      <c r="R42" t="s">
        <v>27</v>
      </c>
      <c r="S42" t="s">
        <v>27</v>
      </c>
    </row>
    <row r="43" spans="1:19" x14ac:dyDescent="0.35">
      <c r="A43" t="s">
        <v>129</v>
      </c>
      <c r="B43" t="s">
        <v>130</v>
      </c>
      <c r="C43" t="s">
        <v>21</v>
      </c>
      <c r="D43">
        <v>23</v>
      </c>
      <c r="E43" t="s">
        <v>22</v>
      </c>
      <c r="F43" t="s">
        <v>43</v>
      </c>
      <c r="G43" t="s">
        <v>24</v>
      </c>
      <c r="H43" t="s">
        <v>131</v>
      </c>
      <c r="I43">
        <v>2</v>
      </c>
      <c r="J43">
        <v>66494</v>
      </c>
      <c r="K43" t="s">
        <v>35</v>
      </c>
      <c r="L43">
        <v>10</v>
      </c>
      <c r="M43">
        <v>16</v>
      </c>
      <c r="N43">
        <v>4</v>
      </c>
      <c r="O43" t="s">
        <v>27</v>
      </c>
      <c r="P43" t="s">
        <v>28</v>
      </c>
      <c r="Q43">
        <v>4</v>
      </c>
      <c r="R43" t="s">
        <v>28</v>
      </c>
      <c r="S43" t="s">
        <v>27</v>
      </c>
    </row>
    <row r="44" spans="1:19" x14ac:dyDescent="0.35">
      <c r="A44" t="s">
        <v>132</v>
      </c>
      <c r="B44" t="s">
        <v>133</v>
      </c>
      <c r="C44" t="s">
        <v>31</v>
      </c>
      <c r="D44">
        <v>27</v>
      </c>
      <c r="E44" t="s">
        <v>55</v>
      </c>
      <c r="F44" t="s">
        <v>33</v>
      </c>
      <c r="G44" t="s">
        <v>44</v>
      </c>
      <c r="H44" t="s">
        <v>70</v>
      </c>
      <c r="I44">
        <v>2</v>
      </c>
      <c r="J44">
        <v>52478</v>
      </c>
      <c r="K44" t="s">
        <v>45</v>
      </c>
      <c r="L44">
        <v>4</v>
      </c>
      <c r="M44">
        <v>21</v>
      </c>
      <c r="N44">
        <v>3</v>
      </c>
      <c r="O44" t="s">
        <v>27</v>
      </c>
      <c r="P44" t="s">
        <v>28</v>
      </c>
      <c r="Q44">
        <v>1</v>
      </c>
      <c r="R44" t="s">
        <v>27</v>
      </c>
      <c r="S44" t="s">
        <v>27</v>
      </c>
    </row>
    <row r="45" spans="1:19" x14ac:dyDescent="0.35">
      <c r="A45" t="s">
        <v>134</v>
      </c>
      <c r="B45" t="s">
        <v>135</v>
      </c>
      <c r="C45" t="s">
        <v>21</v>
      </c>
      <c r="D45">
        <v>37</v>
      </c>
      <c r="E45" t="s">
        <v>55</v>
      </c>
      <c r="F45" t="s">
        <v>48</v>
      </c>
      <c r="G45" t="s">
        <v>24</v>
      </c>
      <c r="H45" t="s">
        <v>131</v>
      </c>
      <c r="I45">
        <v>11</v>
      </c>
      <c r="J45">
        <v>49861</v>
      </c>
      <c r="K45" t="s">
        <v>26</v>
      </c>
      <c r="L45">
        <v>8</v>
      </c>
      <c r="M45">
        <v>26</v>
      </c>
      <c r="N45">
        <v>5</v>
      </c>
      <c r="O45" t="s">
        <v>27</v>
      </c>
      <c r="P45" t="s">
        <v>28</v>
      </c>
      <c r="Q45">
        <v>2</v>
      </c>
      <c r="R45" t="s">
        <v>27</v>
      </c>
      <c r="S45" t="s">
        <v>27</v>
      </c>
    </row>
    <row r="46" spans="1:19" x14ac:dyDescent="0.35">
      <c r="A46" t="s">
        <v>136</v>
      </c>
      <c r="B46" t="s">
        <v>137</v>
      </c>
      <c r="C46" t="s">
        <v>21</v>
      </c>
      <c r="D46">
        <v>21</v>
      </c>
      <c r="E46" t="s">
        <v>55</v>
      </c>
      <c r="F46" t="s">
        <v>33</v>
      </c>
      <c r="G46" t="s">
        <v>24</v>
      </c>
      <c r="H46" t="s">
        <v>25</v>
      </c>
      <c r="I46">
        <v>0</v>
      </c>
      <c r="J46">
        <v>63759</v>
      </c>
      <c r="K46" t="s">
        <v>45</v>
      </c>
      <c r="L46">
        <v>6</v>
      </c>
      <c r="M46">
        <v>26</v>
      </c>
      <c r="N46">
        <v>1</v>
      </c>
      <c r="O46" t="s">
        <v>28</v>
      </c>
      <c r="P46" t="s">
        <v>27</v>
      </c>
      <c r="Q46">
        <v>4</v>
      </c>
      <c r="R46" t="s">
        <v>27</v>
      </c>
      <c r="S46" t="s">
        <v>27</v>
      </c>
    </row>
    <row r="47" spans="1:19" x14ac:dyDescent="0.35">
      <c r="A47" t="s">
        <v>138</v>
      </c>
      <c r="B47" t="s">
        <v>139</v>
      </c>
      <c r="C47" t="s">
        <v>31</v>
      </c>
      <c r="D47">
        <v>53</v>
      </c>
      <c r="E47" t="s">
        <v>55</v>
      </c>
      <c r="F47" t="s">
        <v>60</v>
      </c>
      <c r="G47" t="s">
        <v>24</v>
      </c>
      <c r="H47" t="s">
        <v>34</v>
      </c>
      <c r="I47">
        <v>26</v>
      </c>
      <c r="J47">
        <v>68736</v>
      </c>
      <c r="K47" t="s">
        <v>45</v>
      </c>
      <c r="L47">
        <v>10</v>
      </c>
      <c r="M47">
        <v>28</v>
      </c>
      <c r="N47">
        <v>6</v>
      </c>
      <c r="O47" t="s">
        <v>28</v>
      </c>
      <c r="P47" t="s">
        <v>28</v>
      </c>
      <c r="Q47">
        <v>3</v>
      </c>
      <c r="R47" t="s">
        <v>27</v>
      </c>
      <c r="S47" t="s">
        <v>27</v>
      </c>
    </row>
    <row r="48" spans="1:19" x14ac:dyDescent="0.35">
      <c r="A48" t="s">
        <v>140</v>
      </c>
      <c r="B48" t="s">
        <v>141</v>
      </c>
      <c r="C48" t="s">
        <v>31</v>
      </c>
      <c r="D48">
        <v>21</v>
      </c>
      <c r="E48" t="s">
        <v>55</v>
      </c>
      <c r="F48" t="s">
        <v>23</v>
      </c>
      <c r="G48" t="s">
        <v>24</v>
      </c>
      <c r="H48" t="s">
        <v>25</v>
      </c>
      <c r="I48">
        <v>0</v>
      </c>
      <c r="J48">
        <v>65158</v>
      </c>
      <c r="K48" t="s">
        <v>45</v>
      </c>
      <c r="L48">
        <v>8</v>
      </c>
      <c r="M48">
        <v>20</v>
      </c>
      <c r="N48">
        <v>3</v>
      </c>
      <c r="O48" t="s">
        <v>28</v>
      </c>
      <c r="P48" t="s">
        <v>28</v>
      </c>
      <c r="Q48">
        <v>3</v>
      </c>
      <c r="R48" t="s">
        <v>27</v>
      </c>
      <c r="S48" t="s">
        <v>27</v>
      </c>
    </row>
    <row r="49" spans="1:19" x14ac:dyDescent="0.35">
      <c r="A49" t="s">
        <v>142</v>
      </c>
      <c r="B49" t="s">
        <v>143</v>
      </c>
      <c r="C49" t="s">
        <v>21</v>
      </c>
      <c r="D49">
        <v>49</v>
      </c>
      <c r="E49" t="s">
        <v>55</v>
      </c>
      <c r="F49" t="s">
        <v>43</v>
      </c>
      <c r="G49" t="s">
        <v>24</v>
      </c>
      <c r="H49" t="s">
        <v>52</v>
      </c>
      <c r="I49">
        <v>22</v>
      </c>
      <c r="J49">
        <v>82000</v>
      </c>
      <c r="K49" t="s">
        <v>35</v>
      </c>
      <c r="L49">
        <v>5</v>
      </c>
      <c r="M49">
        <v>43</v>
      </c>
      <c r="N49">
        <v>8</v>
      </c>
      <c r="O49" t="s">
        <v>27</v>
      </c>
      <c r="P49" t="s">
        <v>27</v>
      </c>
      <c r="Q49">
        <v>1</v>
      </c>
      <c r="R49" t="s">
        <v>27</v>
      </c>
      <c r="S49" t="s">
        <v>27</v>
      </c>
    </row>
    <row r="50" spans="1:19" x14ac:dyDescent="0.35">
      <c r="A50" t="s">
        <v>144</v>
      </c>
      <c r="B50" t="s">
        <v>145</v>
      </c>
      <c r="C50" t="s">
        <v>21</v>
      </c>
      <c r="D50">
        <v>32</v>
      </c>
      <c r="E50" t="s">
        <v>55</v>
      </c>
      <c r="F50" t="s">
        <v>43</v>
      </c>
      <c r="G50" t="s">
        <v>69</v>
      </c>
      <c r="H50" t="s">
        <v>131</v>
      </c>
      <c r="I50">
        <v>8</v>
      </c>
      <c r="J50">
        <v>61393</v>
      </c>
      <c r="K50" t="s">
        <v>45</v>
      </c>
      <c r="L50">
        <v>2</v>
      </c>
      <c r="M50">
        <v>11</v>
      </c>
      <c r="N50">
        <v>5</v>
      </c>
      <c r="O50" t="s">
        <v>28</v>
      </c>
      <c r="P50" t="s">
        <v>28</v>
      </c>
      <c r="Q50">
        <v>5</v>
      </c>
      <c r="R50" t="s">
        <v>27</v>
      </c>
      <c r="S50" t="s">
        <v>27</v>
      </c>
    </row>
    <row r="51" spans="1:19" x14ac:dyDescent="0.35">
      <c r="A51" t="s">
        <v>146</v>
      </c>
      <c r="B51" t="s">
        <v>147</v>
      </c>
      <c r="C51" t="s">
        <v>21</v>
      </c>
      <c r="D51">
        <v>38</v>
      </c>
      <c r="E51" t="s">
        <v>55</v>
      </c>
      <c r="F51" t="s">
        <v>48</v>
      </c>
      <c r="G51" t="s">
        <v>24</v>
      </c>
      <c r="H51" t="s">
        <v>131</v>
      </c>
      <c r="I51">
        <v>14</v>
      </c>
      <c r="J51">
        <v>43290</v>
      </c>
      <c r="K51" t="s">
        <v>40</v>
      </c>
      <c r="L51">
        <v>6</v>
      </c>
      <c r="M51">
        <v>18</v>
      </c>
      <c r="N51">
        <v>3</v>
      </c>
      <c r="O51" t="s">
        <v>27</v>
      </c>
      <c r="P51" t="s">
        <v>27</v>
      </c>
      <c r="Q51">
        <v>1</v>
      </c>
      <c r="R51" t="s">
        <v>28</v>
      </c>
      <c r="S51" t="s">
        <v>27</v>
      </c>
    </row>
    <row r="52" spans="1:19" x14ac:dyDescent="0.35">
      <c r="A52" t="s">
        <v>148</v>
      </c>
      <c r="B52" t="s">
        <v>149</v>
      </c>
      <c r="C52" t="s">
        <v>31</v>
      </c>
      <c r="D52">
        <v>42</v>
      </c>
      <c r="E52" t="s">
        <v>55</v>
      </c>
      <c r="F52" t="s">
        <v>48</v>
      </c>
      <c r="G52" t="s">
        <v>24</v>
      </c>
      <c r="H52" t="s">
        <v>52</v>
      </c>
      <c r="I52">
        <v>9</v>
      </c>
      <c r="J52">
        <v>43441</v>
      </c>
      <c r="K52" t="s">
        <v>40</v>
      </c>
      <c r="L52">
        <v>3</v>
      </c>
      <c r="M52">
        <v>18</v>
      </c>
      <c r="N52">
        <v>5</v>
      </c>
      <c r="O52" t="s">
        <v>27</v>
      </c>
      <c r="P52" t="s">
        <v>27</v>
      </c>
      <c r="Q52">
        <v>3</v>
      </c>
      <c r="R52" t="s">
        <v>28</v>
      </c>
      <c r="S52" t="s">
        <v>27</v>
      </c>
    </row>
    <row r="53" spans="1:19" x14ac:dyDescent="0.35">
      <c r="A53" t="s">
        <v>150</v>
      </c>
      <c r="B53" t="s">
        <v>151</v>
      </c>
      <c r="C53" t="s">
        <v>31</v>
      </c>
      <c r="D53">
        <v>47</v>
      </c>
      <c r="E53" t="s">
        <v>38</v>
      </c>
      <c r="F53" t="s">
        <v>23</v>
      </c>
      <c r="G53" t="s">
        <v>24</v>
      </c>
      <c r="H53" t="s">
        <v>70</v>
      </c>
      <c r="I53">
        <v>18</v>
      </c>
      <c r="J53">
        <v>74705</v>
      </c>
      <c r="K53" t="s">
        <v>45</v>
      </c>
      <c r="L53">
        <v>6</v>
      </c>
      <c r="M53">
        <v>8</v>
      </c>
      <c r="N53">
        <v>4</v>
      </c>
      <c r="O53" t="s">
        <v>27</v>
      </c>
      <c r="P53" t="s">
        <v>28</v>
      </c>
      <c r="Q53">
        <v>2</v>
      </c>
      <c r="R53" t="s">
        <v>27</v>
      </c>
      <c r="S53" t="s">
        <v>27</v>
      </c>
    </row>
    <row r="54" spans="1:19" x14ac:dyDescent="0.35">
      <c r="A54" t="s">
        <v>152</v>
      </c>
      <c r="B54" t="s">
        <v>153</v>
      </c>
      <c r="C54" t="s">
        <v>21</v>
      </c>
      <c r="D54">
        <v>33</v>
      </c>
      <c r="E54" t="s">
        <v>22</v>
      </c>
      <c r="F54" t="s">
        <v>39</v>
      </c>
      <c r="G54" t="s">
        <v>24</v>
      </c>
      <c r="H54" t="s">
        <v>131</v>
      </c>
      <c r="I54">
        <v>7</v>
      </c>
      <c r="J54">
        <v>53768</v>
      </c>
      <c r="K54" t="s">
        <v>35</v>
      </c>
      <c r="L54">
        <v>4</v>
      </c>
      <c r="M54">
        <v>26</v>
      </c>
      <c r="N54">
        <v>8</v>
      </c>
      <c r="O54" t="s">
        <v>28</v>
      </c>
      <c r="P54" t="s">
        <v>28</v>
      </c>
      <c r="Q54">
        <v>5</v>
      </c>
      <c r="R54" t="s">
        <v>27</v>
      </c>
      <c r="S54" t="s">
        <v>27</v>
      </c>
    </row>
    <row r="55" spans="1:19" x14ac:dyDescent="0.35">
      <c r="A55" t="s">
        <v>154</v>
      </c>
      <c r="B55" t="s">
        <v>155</v>
      </c>
      <c r="C55" t="s">
        <v>31</v>
      </c>
      <c r="D55">
        <v>55</v>
      </c>
      <c r="E55" t="s">
        <v>22</v>
      </c>
      <c r="F55" t="s">
        <v>64</v>
      </c>
      <c r="G55" t="s">
        <v>24</v>
      </c>
      <c r="H55" t="s">
        <v>25</v>
      </c>
      <c r="I55">
        <v>16</v>
      </c>
      <c r="J55">
        <v>61913</v>
      </c>
      <c r="K55" t="s">
        <v>45</v>
      </c>
      <c r="L55">
        <v>10</v>
      </c>
      <c r="M55">
        <v>32</v>
      </c>
      <c r="N55">
        <v>3</v>
      </c>
      <c r="O55" t="s">
        <v>28</v>
      </c>
      <c r="P55" t="s">
        <v>28</v>
      </c>
      <c r="Q55">
        <v>3</v>
      </c>
      <c r="R55" t="s">
        <v>28</v>
      </c>
      <c r="S55" t="s">
        <v>27</v>
      </c>
    </row>
    <row r="56" spans="1:19" x14ac:dyDescent="0.35">
      <c r="A56" t="s">
        <v>156</v>
      </c>
      <c r="B56" t="s">
        <v>157</v>
      </c>
      <c r="C56" t="s">
        <v>31</v>
      </c>
      <c r="D56">
        <v>26</v>
      </c>
      <c r="E56" t="s">
        <v>38</v>
      </c>
      <c r="F56" t="s">
        <v>39</v>
      </c>
      <c r="G56" t="s">
        <v>24</v>
      </c>
      <c r="H56" t="s">
        <v>52</v>
      </c>
      <c r="I56">
        <v>2</v>
      </c>
      <c r="J56">
        <v>47365</v>
      </c>
      <c r="K56" t="s">
        <v>35</v>
      </c>
      <c r="L56">
        <v>3</v>
      </c>
      <c r="M56">
        <v>24</v>
      </c>
      <c r="N56">
        <v>6</v>
      </c>
      <c r="O56" t="s">
        <v>28</v>
      </c>
      <c r="P56" t="s">
        <v>28</v>
      </c>
      <c r="Q56">
        <v>3</v>
      </c>
      <c r="R56" t="s">
        <v>27</v>
      </c>
      <c r="S56" t="s">
        <v>28</v>
      </c>
    </row>
    <row r="57" spans="1:19" x14ac:dyDescent="0.35">
      <c r="A57" t="s">
        <v>158</v>
      </c>
      <c r="B57" t="s">
        <v>159</v>
      </c>
      <c r="C57" t="s">
        <v>21</v>
      </c>
      <c r="D57">
        <v>29</v>
      </c>
      <c r="E57" t="s">
        <v>22</v>
      </c>
      <c r="F57" t="s">
        <v>64</v>
      </c>
      <c r="G57" t="s">
        <v>69</v>
      </c>
      <c r="H57" t="s">
        <v>49</v>
      </c>
      <c r="I57">
        <v>3</v>
      </c>
      <c r="J57">
        <v>64131</v>
      </c>
      <c r="K57" t="s">
        <v>45</v>
      </c>
      <c r="L57">
        <v>3</v>
      </c>
      <c r="M57">
        <v>59</v>
      </c>
      <c r="N57">
        <v>0</v>
      </c>
      <c r="O57" t="s">
        <v>27</v>
      </c>
      <c r="P57" t="s">
        <v>27</v>
      </c>
      <c r="Q57">
        <v>1</v>
      </c>
      <c r="R57" t="s">
        <v>27</v>
      </c>
      <c r="S57" t="s">
        <v>27</v>
      </c>
    </row>
    <row r="58" spans="1:19" x14ac:dyDescent="0.35">
      <c r="A58" t="s">
        <v>160</v>
      </c>
      <c r="B58" t="s">
        <v>161</v>
      </c>
      <c r="C58" t="s">
        <v>31</v>
      </c>
      <c r="D58">
        <v>39</v>
      </c>
      <c r="E58" t="s">
        <v>55</v>
      </c>
      <c r="F58" t="s">
        <v>39</v>
      </c>
      <c r="G58" t="s">
        <v>24</v>
      </c>
      <c r="H58" t="s">
        <v>49</v>
      </c>
      <c r="I58">
        <v>7</v>
      </c>
      <c r="J58">
        <v>57399</v>
      </c>
      <c r="K58" t="s">
        <v>45</v>
      </c>
      <c r="L58">
        <v>8</v>
      </c>
      <c r="M58">
        <v>26</v>
      </c>
      <c r="N58">
        <v>2</v>
      </c>
      <c r="O58" t="s">
        <v>27</v>
      </c>
      <c r="P58" t="s">
        <v>28</v>
      </c>
      <c r="Q58">
        <v>1</v>
      </c>
      <c r="R58" t="s">
        <v>27</v>
      </c>
      <c r="S58" t="s">
        <v>27</v>
      </c>
    </row>
    <row r="59" spans="1:19" x14ac:dyDescent="0.35">
      <c r="A59" t="s">
        <v>162</v>
      </c>
      <c r="B59" t="s">
        <v>163</v>
      </c>
      <c r="C59" t="s">
        <v>31</v>
      </c>
      <c r="D59">
        <v>27</v>
      </c>
      <c r="E59" t="s">
        <v>55</v>
      </c>
      <c r="F59" t="s">
        <v>43</v>
      </c>
      <c r="G59" t="s">
        <v>69</v>
      </c>
      <c r="H59" t="s">
        <v>131</v>
      </c>
      <c r="I59">
        <v>3</v>
      </c>
      <c r="J59">
        <v>65595</v>
      </c>
      <c r="K59" t="s">
        <v>26</v>
      </c>
      <c r="L59">
        <v>2</v>
      </c>
      <c r="M59">
        <v>24</v>
      </c>
      <c r="N59">
        <v>4</v>
      </c>
      <c r="O59" t="s">
        <v>27</v>
      </c>
      <c r="P59" t="s">
        <v>28</v>
      </c>
      <c r="Q59">
        <v>4</v>
      </c>
      <c r="R59" t="s">
        <v>27</v>
      </c>
      <c r="S59" t="s">
        <v>27</v>
      </c>
    </row>
    <row r="60" spans="1:19" x14ac:dyDescent="0.35">
      <c r="A60" t="s">
        <v>164</v>
      </c>
      <c r="B60" t="s">
        <v>165</v>
      </c>
      <c r="C60" t="s">
        <v>31</v>
      </c>
      <c r="D60">
        <v>36</v>
      </c>
      <c r="E60" t="s">
        <v>22</v>
      </c>
      <c r="F60" t="s">
        <v>39</v>
      </c>
      <c r="G60" t="s">
        <v>69</v>
      </c>
      <c r="H60" t="s">
        <v>70</v>
      </c>
      <c r="I60">
        <v>13</v>
      </c>
      <c r="J60">
        <v>58297</v>
      </c>
      <c r="K60" t="s">
        <v>45</v>
      </c>
      <c r="L60">
        <v>7</v>
      </c>
      <c r="M60">
        <v>24</v>
      </c>
      <c r="N60">
        <v>3</v>
      </c>
      <c r="O60" t="s">
        <v>27</v>
      </c>
      <c r="P60" t="s">
        <v>28</v>
      </c>
      <c r="Q60">
        <v>2</v>
      </c>
      <c r="R60" t="s">
        <v>27</v>
      </c>
      <c r="S60" t="s">
        <v>27</v>
      </c>
    </row>
    <row r="61" spans="1:19" x14ac:dyDescent="0.35">
      <c r="A61" t="s">
        <v>166</v>
      </c>
      <c r="B61" t="s">
        <v>167</v>
      </c>
      <c r="C61" t="s">
        <v>21</v>
      </c>
      <c r="D61">
        <v>50</v>
      </c>
      <c r="E61" t="s">
        <v>38</v>
      </c>
      <c r="F61" t="s">
        <v>33</v>
      </c>
      <c r="G61" t="s">
        <v>24</v>
      </c>
      <c r="H61" t="s">
        <v>70</v>
      </c>
      <c r="I61">
        <v>23</v>
      </c>
      <c r="J61">
        <v>70661</v>
      </c>
      <c r="K61" t="s">
        <v>35</v>
      </c>
      <c r="L61">
        <v>1</v>
      </c>
      <c r="M61">
        <v>30</v>
      </c>
      <c r="N61">
        <v>2</v>
      </c>
      <c r="O61" t="s">
        <v>27</v>
      </c>
      <c r="P61" t="s">
        <v>28</v>
      </c>
      <c r="Q61">
        <v>1</v>
      </c>
      <c r="R61" t="s">
        <v>27</v>
      </c>
      <c r="S61" t="s">
        <v>27</v>
      </c>
    </row>
    <row r="62" spans="1:19" x14ac:dyDescent="0.35">
      <c r="A62" t="s">
        <v>168</v>
      </c>
      <c r="B62" t="s">
        <v>169</v>
      </c>
      <c r="C62" t="s">
        <v>21</v>
      </c>
      <c r="D62">
        <v>23</v>
      </c>
      <c r="E62" t="s">
        <v>55</v>
      </c>
      <c r="F62" t="s">
        <v>33</v>
      </c>
      <c r="G62" t="s">
        <v>24</v>
      </c>
      <c r="H62" t="s">
        <v>49</v>
      </c>
      <c r="I62">
        <v>1</v>
      </c>
      <c r="J62">
        <v>53317</v>
      </c>
      <c r="K62" t="s">
        <v>26</v>
      </c>
      <c r="L62">
        <v>9</v>
      </c>
      <c r="M62">
        <v>33</v>
      </c>
      <c r="N62">
        <v>1</v>
      </c>
      <c r="O62" t="s">
        <v>27</v>
      </c>
      <c r="P62" t="s">
        <v>27</v>
      </c>
      <c r="Q62">
        <v>1</v>
      </c>
      <c r="R62" t="s">
        <v>27</v>
      </c>
      <c r="S62" t="s">
        <v>27</v>
      </c>
    </row>
    <row r="63" spans="1:19" x14ac:dyDescent="0.35">
      <c r="A63" t="s">
        <v>170</v>
      </c>
      <c r="B63" t="s">
        <v>171</v>
      </c>
      <c r="C63" t="s">
        <v>21</v>
      </c>
      <c r="D63">
        <v>47</v>
      </c>
      <c r="E63" t="s">
        <v>22</v>
      </c>
      <c r="F63" t="s">
        <v>48</v>
      </c>
      <c r="G63" t="s">
        <v>69</v>
      </c>
      <c r="H63" t="s">
        <v>131</v>
      </c>
      <c r="I63">
        <v>17</v>
      </c>
      <c r="J63">
        <v>47788</v>
      </c>
      <c r="K63" t="s">
        <v>45</v>
      </c>
      <c r="L63">
        <v>8</v>
      </c>
      <c r="M63">
        <v>18</v>
      </c>
      <c r="N63">
        <v>4</v>
      </c>
      <c r="O63" t="s">
        <v>27</v>
      </c>
      <c r="P63" t="s">
        <v>28</v>
      </c>
      <c r="Q63">
        <v>3</v>
      </c>
      <c r="R63" t="s">
        <v>27</v>
      </c>
      <c r="S63" t="s">
        <v>27</v>
      </c>
    </row>
    <row r="64" spans="1:19" x14ac:dyDescent="0.35">
      <c r="A64" t="s">
        <v>172</v>
      </c>
      <c r="B64" t="s">
        <v>173</v>
      </c>
      <c r="C64" t="s">
        <v>21</v>
      </c>
      <c r="D64">
        <v>23</v>
      </c>
      <c r="E64" t="s">
        <v>55</v>
      </c>
      <c r="F64" t="s">
        <v>64</v>
      </c>
      <c r="G64" t="s">
        <v>69</v>
      </c>
      <c r="H64" t="s">
        <v>52</v>
      </c>
      <c r="I64">
        <v>1</v>
      </c>
      <c r="J64">
        <v>60648</v>
      </c>
      <c r="K64" t="s">
        <v>45</v>
      </c>
      <c r="L64">
        <v>3</v>
      </c>
      <c r="M64">
        <v>2</v>
      </c>
      <c r="N64">
        <v>4</v>
      </c>
      <c r="O64" t="s">
        <v>28</v>
      </c>
      <c r="P64" t="s">
        <v>27</v>
      </c>
      <c r="Q64">
        <v>1</v>
      </c>
      <c r="R64" t="s">
        <v>28</v>
      </c>
      <c r="S64" t="s">
        <v>28</v>
      </c>
    </row>
    <row r="65" spans="1:19" x14ac:dyDescent="0.35">
      <c r="A65" t="s">
        <v>174</v>
      </c>
      <c r="B65" t="s">
        <v>175</v>
      </c>
      <c r="C65" t="s">
        <v>31</v>
      </c>
      <c r="D65">
        <v>44</v>
      </c>
      <c r="E65" t="s">
        <v>38</v>
      </c>
      <c r="F65" t="s">
        <v>39</v>
      </c>
      <c r="G65" t="s">
        <v>24</v>
      </c>
      <c r="H65" t="s">
        <v>131</v>
      </c>
      <c r="I65">
        <v>11</v>
      </c>
      <c r="J65">
        <v>57527</v>
      </c>
      <c r="K65" t="s">
        <v>35</v>
      </c>
      <c r="L65">
        <v>7</v>
      </c>
      <c r="M65">
        <v>37</v>
      </c>
      <c r="N65">
        <v>2</v>
      </c>
      <c r="O65" t="s">
        <v>27</v>
      </c>
      <c r="P65" t="s">
        <v>28</v>
      </c>
      <c r="Q65">
        <v>3</v>
      </c>
      <c r="R65" t="s">
        <v>27</v>
      </c>
      <c r="S65" t="s">
        <v>27</v>
      </c>
    </row>
    <row r="66" spans="1:19" x14ac:dyDescent="0.35">
      <c r="A66" t="s">
        <v>176</v>
      </c>
      <c r="B66" t="s">
        <v>177</v>
      </c>
      <c r="C66" t="s">
        <v>31</v>
      </c>
      <c r="D66">
        <v>22</v>
      </c>
      <c r="E66" t="s">
        <v>55</v>
      </c>
      <c r="F66" t="s">
        <v>23</v>
      </c>
      <c r="G66" t="s">
        <v>24</v>
      </c>
      <c r="H66" t="s">
        <v>61</v>
      </c>
      <c r="I66">
        <v>1</v>
      </c>
      <c r="J66">
        <v>62903</v>
      </c>
      <c r="K66" t="s">
        <v>26</v>
      </c>
      <c r="L66">
        <v>6</v>
      </c>
      <c r="M66">
        <v>4</v>
      </c>
      <c r="N66">
        <v>3</v>
      </c>
      <c r="O66" t="s">
        <v>27</v>
      </c>
      <c r="P66" t="s">
        <v>28</v>
      </c>
      <c r="Q66">
        <v>1</v>
      </c>
      <c r="R66" t="s">
        <v>28</v>
      </c>
      <c r="S66" t="s">
        <v>27</v>
      </c>
    </row>
    <row r="67" spans="1:19" x14ac:dyDescent="0.35">
      <c r="A67" t="s">
        <v>178</v>
      </c>
      <c r="B67" t="s">
        <v>179</v>
      </c>
      <c r="C67" t="s">
        <v>31</v>
      </c>
      <c r="D67">
        <v>43</v>
      </c>
      <c r="E67" t="s">
        <v>55</v>
      </c>
      <c r="F67" t="s">
        <v>48</v>
      </c>
      <c r="G67" t="s">
        <v>24</v>
      </c>
      <c r="H67" t="s">
        <v>61</v>
      </c>
      <c r="I67">
        <v>11</v>
      </c>
      <c r="J67">
        <v>44913</v>
      </c>
      <c r="K67" t="s">
        <v>26</v>
      </c>
      <c r="L67">
        <v>1</v>
      </c>
      <c r="M67">
        <v>38</v>
      </c>
      <c r="N67">
        <v>2</v>
      </c>
      <c r="O67" t="s">
        <v>27</v>
      </c>
      <c r="P67" t="s">
        <v>27</v>
      </c>
      <c r="Q67">
        <v>1</v>
      </c>
      <c r="R67" t="s">
        <v>27</v>
      </c>
      <c r="S67" t="s">
        <v>27</v>
      </c>
    </row>
    <row r="68" spans="1:19" x14ac:dyDescent="0.35">
      <c r="A68" t="s">
        <v>180</v>
      </c>
      <c r="B68" t="s">
        <v>181</v>
      </c>
      <c r="C68" t="s">
        <v>21</v>
      </c>
      <c r="D68">
        <v>46</v>
      </c>
      <c r="E68" t="s">
        <v>55</v>
      </c>
      <c r="F68" t="s">
        <v>33</v>
      </c>
      <c r="G68" t="s">
        <v>24</v>
      </c>
      <c r="H68" t="s">
        <v>34</v>
      </c>
      <c r="I68">
        <v>16</v>
      </c>
      <c r="J68">
        <v>65421</v>
      </c>
      <c r="K68" t="s">
        <v>45</v>
      </c>
      <c r="L68">
        <v>10</v>
      </c>
      <c r="M68">
        <v>26</v>
      </c>
      <c r="N68">
        <v>1</v>
      </c>
      <c r="O68" t="s">
        <v>28</v>
      </c>
      <c r="P68" t="s">
        <v>28</v>
      </c>
      <c r="Q68">
        <v>2</v>
      </c>
      <c r="R68" t="s">
        <v>27</v>
      </c>
      <c r="S68" t="s">
        <v>27</v>
      </c>
    </row>
    <row r="69" spans="1:19" x14ac:dyDescent="0.35">
      <c r="A69" t="s">
        <v>182</v>
      </c>
      <c r="B69" t="s">
        <v>183</v>
      </c>
      <c r="C69" t="s">
        <v>21</v>
      </c>
      <c r="D69">
        <v>55</v>
      </c>
      <c r="E69" t="s">
        <v>32</v>
      </c>
      <c r="F69" t="s">
        <v>23</v>
      </c>
      <c r="G69" t="s">
        <v>24</v>
      </c>
      <c r="H69" t="s">
        <v>52</v>
      </c>
      <c r="I69">
        <v>26</v>
      </c>
      <c r="J69">
        <v>68221</v>
      </c>
      <c r="K69" t="s">
        <v>26</v>
      </c>
      <c r="L69">
        <v>6</v>
      </c>
      <c r="M69">
        <v>31</v>
      </c>
      <c r="N69">
        <v>2</v>
      </c>
      <c r="O69" t="s">
        <v>28</v>
      </c>
      <c r="P69" t="s">
        <v>28</v>
      </c>
      <c r="Q69">
        <v>5</v>
      </c>
      <c r="R69" t="s">
        <v>27</v>
      </c>
      <c r="S69" t="s">
        <v>27</v>
      </c>
    </row>
    <row r="70" spans="1:19" x14ac:dyDescent="0.35">
      <c r="A70" t="s">
        <v>184</v>
      </c>
      <c r="B70" t="s">
        <v>185</v>
      </c>
      <c r="C70" t="s">
        <v>31</v>
      </c>
      <c r="D70">
        <v>39</v>
      </c>
      <c r="E70" t="s">
        <v>55</v>
      </c>
      <c r="F70" t="s">
        <v>39</v>
      </c>
      <c r="G70" t="s">
        <v>24</v>
      </c>
      <c r="H70" t="s">
        <v>25</v>
      </c>
      <c r="I70">
        <v>6</v>
      </c>
      <c r="J70">
        <v>48360</v>
      </c>
      <c r="K70" t="s">
        <v>45</v>
      </c>
      <c r="L70">
        <v>6</v>
      </c>
      <c r="M70">
        <v>19</v>
      </c>
      <c r="N70">
        <v>6</v>
      </c>
      <c r="O70" t="s">
        <v>28</v>
      </c>
      <c r="P70" t="s">
        <v>28</v>
      </c>
      <c r="Q70">
        <v>4</v>
      </c>
      <c r="R70" t="s">
        <v>28</v>
      </c>
      <c r="S70" t="s">
        <v>27</v>
      </c>
    </row>
    <row r="71" spans="1:19" x14ac:dyDescent="0.35">
      <c r="A71" t="s">
        <v>186</v>
      </c>
      <c r="B71" t="s">
        <v>187</v>
      </c>
      <c r="C71" t="s">
        <v>21</v>
      </c>
      <c r="D71">
        <v>54</v>
      </c>
      <c r="E71" t="s">
        <v>55</v>
      </c>
      <c r="F71" t="s">
        <v>23</v>
      </c>
      <c r="G71" t="s">
        <v>24</v>
      </c>
      <c r="H71" t="s">
        <v>25</v>
      </c>
      <c r="I71">
        <v>19</v>
      </c>
      <c r="J71">
        <v>72635</v>
      </c>
      <c r="K71" t="s">
        <v>35</v>
      </c>
      <c r="L71">
        <v>9</v>
      </c>
      <c r="M71">
        <v>18</v>
      </c>
      <c r="N71">
        <v>2</v>
      </c>
      <c r="O71" t="s">
        <v>27</v>
      </c>
      <c r="P71" t="s">
        <v>27</v>
      </c>
      <c r="Q71">
        <v>1</v>
      </c>
      <c r="R71" t="s">
        <v>27</v>
      </c>
      <c r="S71" t="s">
        <v>27</v>
      </c>
    </row>
    <row r="72" spans="1:19" x14ac:dyDescent="0.35">
      <c r="A72" t="s">
        <v>188</v>
      </c>
      <c r="B72" t="s">
        <v>189</v>
      </c>
      <c r="C72" t="s">
        <v>31</v>
      </c>
      <c r="D72">
        <v>25</v>
      </c>
      <c r="E72" t="s">
        <v>38</v>
      </c>
      <c r="F72" t="s">
        <v>43</v>
      </c>
      <c r="G72" t="s">
        <v>69</v>
      </c>
      <c r="H72" t="s">
        <v>34</v>
      </c>
      <c r="I72">
        <v>3</v>
      </c>
      <c r="J72">
        <v>0</v>
      </c>
      <c r="K72" t="s">
        <v>45</v>
      </c>
      <c r="L72">
        <v>4</v>
      </c>
      <c r="M72">
        <v>27</v>
      </c>
      <c r="N72">
        <v>3</v>
      </c>
      <c r="O72" t="s">
        <v>28</v>
      </c>
      <c r="P72" t="s">
        <v>28</v>
      </c>
      <c r="Q72">
        <v>4</v>
      </c>
      <c r="R72" t="s">
        <v>27</v>
      </c>
      <c r="S72" t="s">
        <v>28</v>
      </c>
    </row>
    <row r="73" spans="1:19" x14ac:dyDescent="0.35">
      <c r="A73" t="s">
        <v>190</v>
      </c>
      <c r="B73" t="s">
        <v>191</v>
      </c>
      <c r="C73" t="s">
        <v>31</v>
      </c>
      <c r="D73">
        <v>31</v>
      </c>
      <c r="E73" t="s">
        <v>55</v>
      </c>
      <c r="F73" t="s">
        <v>60</v>
      </c>
      <c r="G73" t="s">
        <v>24</v>
      </c>
      <c r="H73" t="s">
        <v>49</v>
      </c>
      <c r="I73">
        <v>6</v>
      </c>
      <c r="J73">
        <v>56852</v>
      </c>
      <c r="K73" t="s">
        <v>35</v>
      </c>
      <c r="L73">
        <v>4</v>
      </c>
      <c r="M73">
        <v>12</v>
      </c>
      <c r="N73">
        <v>6</v>
      </c>
      <c r="O73" t="s">
        <v>28</v>
      </c>
      <c r="P73" t="s">
        <v>27</v>
      </c>
      <c r="Q73">
        <v>2</v>
      </c>
      <c r="R73" t="s">
        <v>28</v>
      </c>
      <c r="S73" t="s">
        <v>27</v>
      </c>
    </row>
    <row r="74" spans="1:19" x14ac:dyDescent="0.35">
      <c r="A74" t="s">
        <v>192</v>
      </c>
      <c r="B74" t="s">
        <v>193</v>
      </c>
      <c r="C74" t="s">
        <v>31</v>
      </c>
      <c r="D74">
        <v>35</v>
      </c>
      <c r="E74" t="s">
        <v>38</v>
      </c>
      <c r="F74" t="s">
        <v>43</v>
      </c>
      <c r="G74" t="s">
        <v>24</v>
      </c>
      <c r="H74" t="s">
        <v>25</v>
      </c>
      <c r="I74">
        <v>11</v>
      </c>
      <c r="J74">
        <v>82000</v>
      </c>
      <c r="K74" t="s">
        <v>45</v>
      </c>
      <c r="L74">
        <v>10</v>
      </c>
      <c r="M74">
        <v>29</v>
      </c>
      <c r="N74">
        <v>4</v>
      </c>
      <c r="O74" t="s">
        <v>28</v>
      </c>
      <c r="P74" t="s">
        <v>28</v>
      </c>
      <c r="Q74">
        <v>4</v>
      </c>
      <c r="R74" t="s">
        <v>27</v>
      </c>
      <c r="S74" t="s">
        <v>28</v>
      </c>
    </row>
    <row r="75" spans="1:19" x14ac:dyDescent="0.35">
      <c r="A75" t="s">
        <v>194</v>
      </c>
      <c r="B75" t="s">
        <v>195</v>
      </c>
      <c r="C75" t="s">
        <v>21</v>
      </c>
      <c r="D75">
        <v>55</v>
      </c>
      <c r="E75" t="s">
        <v>55</v>
      </c>
      <c r="F75" t="s">
        <v>43</v>
      </c>
      <c r="G75" t="s">
        <v>69</v>
      </c>
      <c r="H75" t="s">
        <v>49</v>
      </c>
      <c r="I75">
        <v>25</v>
      </c>
      <c r="J75">
        <v>82000</v>
      </c>
      <c r="K75" t="s">
        <v>45</v>
      </c>
      <c r="L75">
        <v>5</v>
      </c>
      <c r="M75">
        <v>25</v>
      </c>
      <c r="N75">
        <v>3</v>
      </c>
      <c r="O75" t="s">
        <v>28</v>
      </c>
      <c r="P75" t="s">
        <v>28</v>
      </c>
      <c r="Q75">
        <v>4</v>
      </c>
      <c r="R75" t="s">
        <v>27</v>
      </c>
      <c r="S75" t="s">
        <v>28</v>
      </c>
    </row>
    <row r="76" spans="1:19" x14ac:dyDescent="0.35">
      <c r="A76" t="s">
        <v>196</v>
      </c>
      <c r="B76" t="s">
        <v>197</v>
      </c>
      <c r="C76" t="s">
        <v>21</v>
      </c>
      <c r="D76">
        <v>46</v>
      </c>
      <c r="E76" t="s">
        <v>38</v>
      </c>
      <c r="F76" t="s">
        <v>60</v>
      </c>
      <c r="G76" t="s">
        <v>24</v>
      </c>
      <c r="H76" t="s">
        <v>70</v>
      </c>
      <c r="I76">
        <v>16</v>
      </c>
      <c r="J76">
        <v>63142</v>
      </c>
      <c r="K76" t="s">
        <v>26</v>
      </c>
      <c r="L76">
        <v>2</v>
      </c>
      <c r="M76">
        <v>37</v>
      </c>
      <c r="N76">
        <v>7</v>
      </c>
      <c r="O76" t="s">
        <v>27</v>
      </c>
      <c r="P76" t="s">
        <v>28</v>
      </c>
      <c r="Q76">
        <v>4</v>
      </c>
      <c r="R76" t="s">
        <v>28</v>
      </c>
      <c r="S76" t="s">
        <v>27</v>
      </c>
    </row>
    <row r="77" spans="1:19" x14ac:dyDescent="0.35">
      <c r="A77" t="s">
        <v>198</v>
      </c>
      <c r="B77" t="s">
        <v>199</v>
      </c>
      <c r="C77" t="s">
        <v>21</v>
      </c>
      <c r="D77">
        <v>54</v>
      </c>
      <c r="E77" t="s">
        <v>38</v>
      </c>
      <c r="F77" t="s">
        <v>64</v>
      </c>
      <c r="G77" t="s">
        <v>24</v>
      </c>
      <c r="H77" t="s">
        <v>25</v>
      </c>
      <c r="I77">
        <v>14</v>
      </c>
      <c r="J77">
        <v>67340</v>
      </c>
      <c r="K77" t="s">
        <v>35</v>
      </c>
      <c r="L77">
        <v>7</v>
      </c>
      <c r="M77">
        <v>32</v>
      </c>
      <c r="N77">
        <v>4</v>
      </c>
      <c r="O77" t="s">
        <v>27</v>
      </c>
      <c r="P77" t="s">
        <v>28</v>
      </c>
      <c r="Q77">
        <v>3</v>
      </c>
      <c r="R77" t="s">
        <v>27</v>
      </c>
      <c r="S77" t="s">
        <v>27</v>
      </c>
    </row>
    <row r="78" spans="1:19" x14ac:dyDescent="0.35">
      <c r="A78" t="s">
        <v>200</v>
      </c>
      <c r="B78" t="s">
        <v>201</v>
      </c>
      <c r="C78" t="s">
        <v>31</v>
      </c>
      <c r="D78">
        <v>39</v>
      </c>
      <c r="E78" t="s">
        <v>55</v>
      </c>
      <c r="F78" t="s">
        <v>23</v>
      </c>
      <c r="G78" t="s">
        <v>69</v>
      </c>
      <c r="H78" t="s">
        <v>34</v>
      </c>
      <c r="I78">
        <v>11</v>
      </c>
      <c r="J78">
        <v>66354</v>
      </c>
      <c r="K78" t="s">
        <v>45</v>
      </c>
      <c r="L78">
        <v>4</v>
      </c>
      <c r="M78">
        <v>36</v>
      </c>
      <c r="N78">
        <v>6</v>
      </c>
      <c r="O78" t="s">
        <v>28</v>
      </c>
      <c r="P78" t="s">
        <v>28</v>
      </c>
      <c r="Q78">
        <v>4</v>
      </c>
      <c r="R78" t="s">
        <v>27</v>
      </c>
      <c r="S78" t="s">
        <v>28</v>
      </c>
    </row>
    <row r="79" spans="1:19" x14ac:dyDescent="0.35">
      <c r="A79" t="s">
        <v>202</v>
      </c>
      <c r="B79" t="s">
        <v>203</v>
      </c>
      <c r="C79" t="s">
        <v>31</v>
      </c>
      <c r="D79">
        <v>22</v>
      </c>
      <c r="E79" t="s">
        <v>55</v>
      </c>
      <c r="F79" t="s">
        <v>33</v>
      </c>
      <c r="G79" t="s">
        <v>24</v>
      </c>
      <c r="H79" t="s">
        <v>61</v>
      </c>
      <c r="I79">
        <v>1</v>
      </c>
      <c r="J79">
        <v>47792</v>
      </c>
      <c r="K79" t="s">
        <v>45</v>
      </c>
      <c r="L79">
        <v>1</v>
      </c>
      <c r="M79">
        <v>9</v>
      </c>
      <c r="N79">
        <v>5</v>
      </c>
      <c r="O79" t="s">
        <v>28</v>
      </c>
      <c r="P79" t="s">
        <v>28</v>
      </c>
      <c r="Q79">
        <v>2</v>
      </c>
      <c r="R79" t="s">
        <v>27</v>
      </c>
      <c r="S79" t="s">
        <v>27</v>
      </c>
    </row>
    <row r="80" spans="1:19" x14ac:dyDescent="0.35">
      <c r="A80" t="s">
        <v>204</v>
      </c>
      <c r="B80" t="s">
        <v>205</v>
      </c>
      <c r="C80" t="s">
        <v>21</v>
      </c>
      <c r="D80">
        <v>37</v>
      </c>
      <c r="E80" t="s">
        <v>55</v>
      </c>
      <c r="F80" t="s">
        <v>33</v>
      </c>
      <c r="G80" t="s">
        <v>24</v>
      </c>
      <c r="H80" t="s">
        <v>131</v>
      </c>
      <c r="I80">
        <v>6</v>
      </c>
      <c r="J80">
        <v>52588</v>
      </c>
      <c r="K80" t="s">
        <v>45</v>
      </c>
      <c r="L80">
        <v>7</v>
      </c>
      <c r="M80">
        <v>13</v>
      </c>
      <c r="N80">
        <v>5</v>
      </c>
      <c r="O80" t="s">
        <v>28</v>
      </c>
      <c r="P80" t="s">
        <v>28</v>
      </c>
      <c r="Q80">
        <v>3</v>
      </c>
      <c r="R80" t="s">
        <v>27</v>
      </c>
      <c r="S80" t="s">
        <v>27</v>
      </c>
    </row>
    <row r="81" spans="1:19" x14ac:dyDescent="0.35">
      <c r="A81" t="s">
        <v>206</v>
      </c>
      <c r="B81" t="s">
        <v>207</v>
      </c>
      <c r="C81" t="s">
        <v>31</v>
      </c>
      <c r="D81">
        <v>35</v>
      </c>
      <c r="E81" t="s">
        <v>38</v>
      </c>
      <c r="F81" t="s">
        <v>23</v>
      </c>
      <c r="G81" t="s">
        <v>69</v>
      </c>
      <c r="H81" t="s">
        <v>25</v>
      </c>
      <c r="I81">
        <v>8</v>
      </c>
      <c r="J81">
        <v>66985</v>
      </c>
      <c r="K81" t="s">
        <v>26</v>
      </c>
      <c r="L81">
        <v>5</v>
      </c>
      <c r="M81">
        <v>52</v>
      </c>
      <c r="N81">
        <v>3</v>
      </c>
      <c r="O81" t="s">
        <v>27</v>
      </c>
      <c r="P81" t="s">
        <v>27</v>
      </c>
      <c r="Q81">
        <v>2</v>
      </c>
      <c r="R81" t="s">
        <v>28</v>
      </c>
      <c r="S81" t="s">
        <v>27</v>
      </c>
    </row>
    <row r="82" spans="1:19" x14ac:dyDescent="0.35">
      <c r="A82" t="s">
        <v>208</v>
      </c>
      <c r="B82" t="s">
        <v>209</v>
      </c>
      <c r="C82" t="s">
        <v>31</v>
      </c>
      <c r="D82">
        <v>31</v>
      </c>
      <c r="E82" t="s">
        <v>55</v>
      </c>
      <c r="F82" t="s">
        <v>39</v>
      </c>
      <c r="G82" t="s">
        <v>69</v>
      </c>
      <c r="H82" t="s">
        <v>61</v>
      </c>
      <c r="I82">
        <v>8</v>
      </c>
      <c r="J82">
        <v>55830</v>
      </c>
      <c r="K82" t="s">
        <v>40</v>
      </c>
      <c r="L82">
        <v>5</v>
      </c>
      <c r="M82">
        <v>26</v>
      </c>
      <c r="N82">
        <v>4</v>
      </c>
      <c r="O82" t="s">
        <v>27</v>
      </c>
      <c r="P82" t="s">
        <v>28</v>
      </c>
      <c r="Q82">
        <v>4</v>
      </c>
      <c r="R82" t="s">
        <v>27</v>
      </c>
      <c r="S82" t="s">
        <v>28</v>
      </c>
    </row>
    <row r="83" spans="1:19" x14ac:dyDescent="0.35">
      <c r="A83" t="s">
        <v>210</v>
      </c>
      <c r="B83" t="s">
        <v>211</v>
      </c>
      <c r="C83" t="s">
        <v>31</v>
      </c>
      <c r="D83">
        <v>48</v>
      </c>
      <c r="E83" t="s">
        <v>55</v>
      </c>
      <c r="F83" t="s">
        <v>33</v>
      </c>
      <c r="G83" t="s">
        <v>69</v>
      </c>
      <c r="H83" t="s">
        <v>131</v>
      </c>
      <c r="I83">
        <v>21</v>
      </c>
      <c r="J83">
        <v>66431</v>
      </c>
      <c r="K83" t="s">
        <v>26</v>
      </c>
      <c r="L83">
        <v>6</v>
      </c>
      <c r="M83">
        <v>57</v>
      </c>
      <c r="N83">
        <v>4</v>
      </c>
      <c r="O83" t="s">
        <v>28</v>
      </c>
      <c r="P83" t="s">
        <v>27</v>
      </c>
      <c r="Q83">
        <v>1</v>
      </c>
      <c r="R83" t="s">
        <v>27</v>
      </c>
      <c r="S83" t="s">
        <v>27</v>
      </c>
    </row>
    <row r="84" spans="1:19" x14ac:dyDescent="0.35">
      <c r="A84" t="s">
        <v>212</v>
      </c>
      <c r="B84" t="s">
        <v>213</v>
      </c>
      <c r="C84" t="s">
        <v>21</v>
      </c>
      <c r="D84">
        <v>46</v>
      </c>
      <c r="E84" t="s">
        <v>55</v>
      </c>
      <c r="F84" t="s">
        <v>33</v>
      </c>
      <c r="G84" t="s">
        <v>24</v>
      </c>
      <c r="H84" t="s">
        <v>131</v>
      </c>
      <c r="I84">
        <v>10</v>
      </c>
      <c r="J84">
        <v>62023</v>
      </c>
      <c r="K84" t="s">
        <v>45</v>
      </c>
      <c r="L84">
        <v>4</v>
      </c>
      <c r="M84">
        <v>24</v>
      </c>
      <c r="N84">
        <v>4</v>
      </c>
      <c r="O84" t="s">
        <v>27</v>
      </c>
      <c r="P84" t="s">
        <v>28</v>
      </c>
      <c r="Q84">
        <v>2</v>
      </c>
      <c r="R84" t="s">
        <v>27</v>
      </c>
      <c r="S84" t="s">
        <v>27</v>
      </c>
    </row>
    <row r="85" spans="1:19" x14ac:dyDescent="0.35">
      <c r="A85" t="s">
        <v>214</v>
      </c>
      <c r="B85" t="s">
        <v>215</v>
      </c>
      <c r="C85" t="s">
        <v>21</v>
      </c>
      <c r="D85">
        <v>21</v>
      </c>
      <c r="E85" t="s">
        <v>32</v>
      </c>
      <c r="F85" t="s">
        <v>39</v>
      </c>
      <c r="G85" t="s">
        <v>69</v>
      </c>
      <c r="H85" t="s">
        <v>34</v>
      </c>
      <c r="I85">
        <v>0</v>
      </c>
      <c r="J85">
        <v>44443</v>
      </c>
      <c r="K85" t="s">
        <v>45</v>
      </c>
      <c r="L85">
        <v>8</v>
      </c>
      <c r="M85">
        <v>28</v>
      </c>
      <c r="N85">
        <v>6</v>
      </c>
      <c r="O85" t="s">
        <v>27</v>
      </c>
      <c r="P85" t="s">
        <v>27</v>
      </c>
      <c r="Q85">
        <v>3</v>
      </c>
      <c r="R85" t="s">
        <v>28</v>
      </c>
      <c r="S85" t="s">
        <v>27</v>
      </c>
    </row>
    <row r="86" spans="1:19" x14ac:dyDescent="0.35">
      <c r="A86" t="s">
        <v>216</v>
      </c>
      <c r="B86" t="s">
        <v>217</v>
      </c>
      <c r="C86" t="s">
        <v>31</v>
      </c>
      <c r="D86">
        <v>52</v>
      </c>
      <c r="E86" t="s">
        <v>55</v>
      </c>
      <c r="F86" t="s">
        <v>39</v>
      </c>
      <c r="G86" t="s">
        <v>24</v>
      </c>
      <c r="H86" t="s">
        <v>61</v>
      </c>
      <c r="I86">
        <v>21</v>
      </c>
      <c r="J86">
        <v>66584</v>
      </c>
      <c r="K86" t="s">
        <v>35</v>
      </c>
      <c r="L86">
        <v>9</v>
      </c>
      <c r="M86">
        <v>21</v>
      </c>
      <c r="N86">
        <v>6</v>
      </c>
      <c r="O86" t="s">
        <v>27</v>
      </c>
      <c r="P86" t="s">
        <v>28</v>
      </c>
      <c r="Q86">
        <v>4</v>
      </c>
      <c r="R86" t="s">
        <v>27</v>
      </c>
      <c r="S86" t="s">
        <v>27</v>
      </c>
    </row>
    <row r="87" spans="1:19" x14ac:dyDescent="0.35">
      <c r="A87" t="s">
        <v>218</v>
      </c>
      <c r="B87" t="s">
        <v>219</v>
      </c>
      <c r="C87" t="s">
        <v>21</v>
      </c>
      <c r="D87">
        <v>31</v>
      </c>
      <c r="E87" t="s">
        <v>55</v>
      </c>
      <c r="F87" t="s">
        <v>39</v>
      </c>
      <c r="G87" t="s">
        <v>24</v>
      </c>
      <c r="H87" t="s">
        <v>131</v>
      </c>
      <c r="I87">
        <v>7</v>
      </c>
      <c r="J87">
        <v>53383</v>
      </c>
      <c r="K87" t="s">
        <v>45</v>
      </c>
      <c r="L87">
        <v>6</v>
      </c>
      <c r="M87">
        <v>14</v>
      </c>
      <c r="N87">
        <v>1</v>
      </c>
      <c r="O87" t="s">
        <v>28</v>
      </c>
      <c r="P87" t="s">
        <v>28</v>
      </c>
      <c r="Q87">
        <v>4</v>
      </c>
      <c r="R87" t="s">
        <v>27</v>
      </c>
      <c r="S87" t="s">
        <v>27</v>
      </c>
    </row>
    <row r="88" spans="1:19" x14ac:dyDescent="0.35">
      <c r="A88" t="s">
        <v>220</v>
      </c>
      <c r="B88" t="s">
        <v>221</v>
      </c>
      <c r="C88" t="s">
        <v>31</v>
      </c>
      <c r="D88">
        <v>23</v>
      </c>
      <c r="E88" t="s">
        <v>22</v>
      </c>
      <c r="F88" t="s">
        <v>39</v>
      </c>
      <c r="G88" t="s">
        <v>24</v>
      </c>
      <c r="H88" t="s">
        <v>34</v>
      </c>
      <c r="I88">
        <v>2</v>
      </c>
      <c r="J88">
        <v>61019</v>
      </c>
      <c r="K88" t="s">
        <v>45</v>
      </c>
      <c r="L88">
        <v>2</v>
      </c>
      <c r="M88">
        <v>16</v>
      </c>
      <c r="N88">
        <v>7</v>
      </c>
      <c r="O88" t="s">
        <v>28</v>
      </c>
      <c r="P88" t="s">
        <v>28</v>
      </c>
      <c r="Q88">
        <v>5</v>
      </c>
      <c r="R88" t="s">
        <v>27</v>
      </c>
      <c r="S88" t="s">
        <v>27</v>
      </c>
    </row>
    <row r="89" spans="1:19" x14ac:dyDescent="0.35">
      <c r="A89" t="s">
        <v>222</v>
      </c>
      <c r="B89" t="s">
        <v>223</v>
      </c>
      <c r="C89" t="s">
        <v>21</v>
      </c>
      <c r="D89">
        <v>29</v>
      </c>
      <c r="E89" t="s">
        <v>32</v>
      </c>
      <c r="F89" t="s">
        <v>48</v>
      </c>
      <c r="G89" t="s">
        <v>24</v>
      </c>
      <c r="H89" t="s">
        <v>52</v>
      </c>
      <c r="I89">
        <v>5</v>
      </c>
      <c r="J89">
        <v>37181</v>
      </c>
      <c r="K89" t="s">
        <v>45</v>
      </c>
      <c r="L89">
        <v>5</v>
      </c>
      <c r="M89">
        <v>33</v>
      </c>
      <c r="N89">
        <v>1</v>
      </c>
      <c r="O89" t="s">
        <v>28</v>
      </c>
      <c r="P89" t="s">
        <v>27</v>
      </c>
      <c r="Q89">
        <v>4</v>
      </c>
      <c r="R89" t="s">
        <v>28</v>
      </c>
      <c r="S89" t="s">
        <v>27</v>
      </c>
    </row>
    <row r="90" spans="1:19" x14ac:dyDescent="0.35">
      <c r="A90" t="s">
        <v>224</v>
      </c>
      <c r="B90" t="s">
        <v>225</v>
      </c>
      <c r="C90" t="s">
        <v>21</v>
      </c>
      <c r="D90">
        <v>41</v>
      </c>
      <c r="E90" t="s">
        <v>55</v>
      </c>
      <c r="F90" t="s">
        <v>33</v>
      </c>
      <c r="G90" t="s">
        <v>24</v>
      </c>
      <c r="H90" t="s">
        <v>25</v>
      </c>
      <c r="I90">
        <v>8</v>
      </c>
      <c r="J90">
        <v>54007</v>
      </c>
      <c r="K90" t="s">
        <v>45</v>
      </c>
      <c r="L90">
        <v>7</v>
      </c>
      <c r="M90">
        <v>37</v>
      </c>
      <c r="N90">
        <v>4</v>
      </c>
      <c r="O90" t="s">
        <v>28</v>
      </c>
      <c r="P90" t="s">
        <v>28</v>
      </c>
      <c r="Q90">
        <v>4</v>
      </c>
      <c r="R90" t="s">
        <v>28</v>
      </c>
      <c r="S90" t="s">
        <v>28</v>
      </c>
    </row>
    <row r="91" spans="1:19" x14ac:dyDescent="0.35">
      <c r="A91" t="s">
        <v>226</v>
      </c>
      <c r="B91" t="s">
        <v>227</v>
      </c>
      <c r="C91" t="s">
        <v>21</v>
      </c>
      <c r="D91">
        <v>54</v>
      </c>
      <c r="E91" t="s">
        <v>22</v>
      </c>
      <c r="F91" t="s">
        <v>23</v>
      </c>
      <c r="G91" t="s">
        <v>69</v>
      </c>
      <c r="H91" t="s">
        <v>131</v>
      </c>
      <c r="I91">
        <v>26</v>
      </c>
      <c r="J91">
        <v>74803</v>
      </c>
      <c r="K91" t="s">
        <v>35</v>
      </c>
      <c r="L91">
        <v>7</v>
      </c>
      <c r="M91">
        <v>13</v>
      </c>
      <c r="N91">
        <v>7</v>
      </c>
      <c r="O91" t="s">
        <v>28</v>
      </c>
      <c r="P91" t="s">
        <v>27</v>
      </c>
      <c r="Q91">
        <v>5</v>
      </c>
      <c r="R91" t="s">
        <v>28</v>
      </c>
      <c r="S91" t="s">
        <v>27</v>
      </c>
    </row>
    <row r="92" spans="1:19" x14ac:dyDescent="0.35">
      <c r="A92" t="s">
        <v>228</v>
      </c>
      <c r="B92" t="s">
        <v>229</v>
      </c>
      <c r="C92" t="s">
        <v>21</v>
      </c>
      <c r="D92">
        <v>55</v>
      </c>
      <c r="E92" t="s">
        <v>55</v>
      </c>
      <c r="F92" t="s">
        <v>43</v>
      </c>
      <c r="G92" t="s">
        <v>24</v>
      </c>
      <c r="H92" t="s">
        <v>25</v>
      </c>
      <c r="I92">
        <v>15</v>
      </c>
      <c r="J92">
        <v>82000</v>
      </c>
      <c r="K92" t="s">
        <v>45</v>
      </c>
      <c r="L92">
        <v>1</v>
      </c>
      <c r="M92">
        <v>38</v>
      </c>
      <c r="N92">
        <v>4</v>
      </c>
      <c r="O92" t="s">
        <v>27</v>
      </c>
      <c r="P92" t="s">
        <v>28</v>
      </c>
      <c r="Q92">
        <v>4</v>
      </c>
      <c r="R92" t="s">
        <v>27</v>
      </c>
      <c r="S92" t="s">
        <v>27</v>
      </c>
    </row>
    <row r="93" spans="1:19" x14ac:dyDescent="0.35">
      <c r="A93" t="s">
        <v>230</v>
      </c>
      <c r="B93" t="s">
        <v>231</v>
      </c>
      <c r="C93" t="s">
        <v>21</v>
      </c>
      <c r="D93">
        <v>50</v>
      </c>
      <c r="E93" t="s">
        <v>38</v>
      </c>
      <c r="F93" t="s">
        <v>33</v>
      </c>
      <c r="G93" t="s">
        <v>24</v>
      </c>
      <c r="H93" t="s">
        <v>49</v>
      </c>
      <c r="I93">
        <v>12</v>
      </c>
      <c r="J93">
        <v>69029</v>
      </c>
      <c r="K93" t="s">
        <v>45</v>
      </c>
      <c r="L93">
        <v>7</v>
      </c>
      <c r="M93">
        <v>28</v>
      </c>
      <c r="N93">
        <v>4</v>
      </c>
      <c r="O93" t="s">
        <v>27</v>
      </c>
      <c r="P93" t="s">
        <v>28</v>
      </c>
      <c r="Q93">
        <v>2</v>
      </c>
      <c r="R93" t="s">
        <v>27</v>
      </c>
      <c r="S93" t="s">
        <v>27</v>
      </c>
    </row>
    <row r="94" spans="1:19" x14ac:dyDescent="0.35">
      <c r="A94" t="s">
        <v>232</v>
      </c>
      <c r="B94" t="s">
        <v>233</v>
      </c>
      <c r="C94" t="s">
        <v>31</v>
      </c>
      <c r="D94">
        <v>25</v>
      </c>
      <c r="E94" t="s">
        <v>55</v>
      </c>
      <c r="F94" t="s">
        <v>60</v>
      </c>
      <c r="G94" t="s">
        <v>24</v>
      </c>
      <c r="H94" t="s">
        <v>49</v>
      </c>
      <c r="I94">
        <v>3</v>
      </c>
      <c r="J94">
        <v>55537</v>
      </c>
      <c r="K94" t="s">
        <v>26</v>
      </c>
      <c r="L94">
        <v>2</v>
      </c>
      <c r="M94">
        <v>5</v>
      </c>
      <c r="N94">
        <v>5</v>
      </c>
      <c r="O94" t="s">
        <v>27</v>
      </c>
      <c r="P94" t="s">
        <v>27</v>
      </c>
      <c r="Q94">
        <v>4</v>
      </c>
      <c r="R94" t="s">
        <v>27</v>
      </c>
      <c r="S94" t="s">
        <v>28</v>
      </c>
    </row>
    <row r="95" spans="1:19" x14ac:dyDescent="0.35">
      <c r="A95" t="s">
        <v>234</v>
      </c>
      <c r="B95" t="s">
        <v>235</v>
      </c>
      <c r="C95" t="s">
        <v>21</v>
      </c>
      <c r="D95">
        <v>40</v>
      </c>
      <c r="E95" t="s">
        <v>38</v>
      </c>
      <c r="F95" t="s">
        <v>39</v>
      </c>
      <c r="G95" t="s">
        <v>24</v>
      </c>
      <c r="H95" t="s">
        <v>61</v>
      </c>
      <c r="I95">
        <v>15</v>
      </c>
      <c r="J95">
        <v>61035</v>
      </c>
      <c r="K95" t="s">
        <v>45</v>
      </c>
      <c r="L95">
        <v>2</v>
      </c>
      <c r="M95">
        <v>17</v>
      </c>
      <c r="N95">
        <v>6</v>
      </c>
      <c r="O95" t="s">
        <v>28</v>
      </c>
      <c r="P95" t="s">
        <v>28</v>
      </c>
      <c r="Q95">
        <v>1</v>
      </c>
      <c r="R95" t="s">
        <v>27</v>
      </c>
      <c r="S95" t="s">
        <v>27</v>
      </c>
    </row>
    <row r="96" spans="1:19" x14ac:dyDescent="0.35">
      <c r="A96" t="s">
        <v>236</v>
      </c>
      <c r="B96" t="s">
        <v>237</v>
      </c>
      <c r="C96" t="s">
        <v>31</v>
      </c>
      <c r="D96">
        <v>36</v>
      </c>
      <c r="E96" t="s">
        <v>55</v>
      </c>
      <c r="F96" t="s">
        <v>43</v>
      </c>
      <c r="G96" t="s">
        <v>24</v>
      </c>
      <c r="H96" t="s">
        <v>52</v>
      </c>
      <c r="I96">
        <v>12</v>
      </c>
      <c r="J96">
        <v>74457</v>
      </c>
      <c r="K96" t="s">
        <v>45</v>
      </c>
      <c r="L96">
        <v>7</v>
      </c>
      <c r="M96">
        <v>12</v>
      </c>
      <c r="N96">
        <v>5</v>
      </c>
      <c r="O96" t="s">
        <v>28</v>
      </c>
      <c r="P96" t="s">
        <v>28</v>
      </c>
      <c r="Q96">
        <v>1</v>
      </c>
      <c r="R96" t="s">
        <v>27</v>
      </c>
      <c r="S96" t="s">
        <v>27</v>
      </c>
    </row>
    <row r="97" spans="1:19" x14ac:dyDescent="0.35">
      <c r="A97" t="s">
        <v>238</v>
      </c>
      <c r="B97" t="s">
        <v>239</v>
      </c>
      <c r="C97" t="s">
        <v>21</v>
      </c>
      <c r="D97">
        <v>46</v>
      </c>
      <c r="E97" t="s">
        <v>22</v>
      </c>
      <c r="F97" t="s">
        <v>33</v>
      </c>
      <c r="G97" t="s">
        <v>24</v>
      </c>
      <c r="H97" t="s">
        <v>49</v>
      </c>
      <c r="I97">
        <v>19</v>
      </c>
      <c r="J97">
        <v>66962</v>
      </c>
      <c r="K97" t="s">
        <v>45</v>
      </c>
      <c r="L97">
        <v>5</v>
      </c>
      <c r="M97">
        <v>27</v>
      </c>
      <c r="N97">
        <v>3</v>
      </c>
      <c r="O97" t="s">
        <v>27</v>
      </c>
      <c r="P97" t="s">
        <v>28</v>
      </c>
      <c r="Q97">
        <v>1</v>
      </c>
      <c r="R97" t="s">
        <v>27</v>
      </c>
      <c r="S97" t="s">
        <v>27</v>
      </c>
    </row>
    <row r="98" spans="1:19" x14ac:dyDescent="0.35">
      <c r="A98" t="s">
        <v>240</v>
      </c>
      <c r="B98" t="s">
        <v>241</v>
      </c>
      <c r="C98" t="s">
        <v>21</v>
      </c>
      <c r="D98">
        <v>52</v>
      </c>
      <c r="E98" t="s">
        <v>55</v>
      </c>
      <c r="F98" t="s">
        <v>64</v>
      </c>
      <c r="G98" t="s">
        <v>24</v>
      </c>
      <c r="H98" t="s">
        <v>25</v>
      </c>
      <c r="I98">
        <v>24</v>
      </c>
      <c r="J98">
        <v>82000</v>
      </c>
      <c r="K98" t="s">
        <v>26</v>
      </c>
      <c r="L98">
        <v>1</v>
      </c>
      <c r="M98">
        <v>24</v>
      </c>
      <c r="N98">
        <v>1</v>
      </c>
      <c r="O98" t="s">
        <v>27</v>
      </c>
      <c r="P98" t="s">
        <v>28</v>
      </c>
      <c r="Q98">
        <v>4</v>
      </c>
      <c r="R98" t="s">
        <v>27</v>
      </c>
      <c r="S98" t="s">
        <v>27</v>
      </c>
    </row>
    <row r="99" spans="1:19" x14ac:dyDescent="0.35">
      <c r="A99" t="s">
        <v>242</v>
      </c>
      <c r="B99" t="s">
        <v>243</v>
      </c>
      <c r="C99" t="s">
        <v>21</v>
      </c>
      <c r="D99">
        <v>46</v>
      </c>
      <c r="E99" t="s">
        <v>38</v>
      </c>
      <c r="F99" t="s">
        <v>64</v>
      </c>
      <c r="G99" t="s">
        <v>24</v>
      </c>
      <c r="H99" t="s">
        <v>49</v>
      </c>
      <c r="I99">
        <v>20</v>
      </c>
      <c r="J99">
        <v>73894</v>
      </c>
      <c r="K99" t="s">
        <v>26</v>
      </c>
      <c r="L99">
        <v>7</v>
      </c>
      <c r="M99">
        <v>40</v>
      </c>
      <c r="N99">
        <v>6</v>
      </c>
      <c r="O99" t="s">
        <v>27</v>
      </c>
      <c r="P99" t="s">
        <v>28</v>
      </c>
      <c r="Q99">
        <v>4</v>
      </c>
      <c r="R99" t="s">
        <v>27</v>
      </c>
      <c r="S99" t="s">
        <v>27</v>
      </c>
    </row>
    <row r="100" spans="1:19" x14ac:dyDescent="0.35">
      <c r="A100" t="s">
        <v>244</v>
      </c>
      <c r="B100" t="s">
        <v>245</v>
      </c>
      <c r="C100" t="s">
        <v>31</v>
      </c>
      <c r="D100">
        <v>26</v>
      </c>
      <c r="E100" t="s">
        <v>55</v>
      </c>
      <c r="F100" t="s">
        <v>64</v>
      </c>
      <c r="G100" t="s">
        <v>69</v>
      </c>
      <c r="H100" t="s">
        <v>34</v>
      </c>
      <c r="I100">
        <v>3</v>
      </c>
      <c r="J100">
        <v>58670</v>
      </c>
      <c r="K100" t="s">
        <v>45</v>
      </c>
      <c r="L100">
        <v>2</v>
      </c>
      <c r="M100">
        <v>37</v>
      </c>
      <c r="N100">
        <v>5</v>
      </c>
      <c r="O100" t="s">
        <v>28</v>
      </c>
      <c r="P100" t="s">
        <v>28</v>
      </c>
      <c r="Q100">
        <v>4</v>
      </c>
      <c r="R100" t="s">
        <v>28</v>
      </c>
      <c r="S100" t="s">
        <v>27</v>
      </c>
    </row>
    <row r="101" spans="1:19" x14ac:dyDescent="0.35">
      <c r="A101" t="s">
        <v>246</v>
      </c>
      <c r="B101" t="s">
        <v>247</v>
      </c>
      <c r="C101" t="s">
        <v>21</v>
      </c>
      <c r="D101">
        <v>51</v>
      </c>
      <c r="E101" t="s">
        <v>32</v>
      </c>
      <c r="F101" t="s">
        <v>48</v>
      </c>
      <c r="G101" t="s">
        <v>24</v>
      </c>
      <c r="H101" t="s">
        <v>52</v>
      </c>
      <c r="I101">
        <v>23</v>
      </c>
      <c r="J101">
        <v>49539</v>
      </c>
      <c r="K101" t="s">
        <v>45</v>
      </c>
      <c r="L101">
        <v>10</v>
      </c>
      <c r="M101">
        <v>54</v>
      </c>
      <c r="N101">
        <v>4</v>
      </c>
      <c r="O101" t="s">
        <v>27</v>
      </c>
      <c r="P101" t="s">
        <v>27</v>
      </c>
      <c r="Q101">
        <v>4</v>
      </c>
      <c r="R101" t="s">
        <v>28</v>
      </c>
      <c r="S101" t="s">
        <v>27</v>
      </c>
    </row>
    <row r="102" spans="1:19" x14ac:dyDescent="0.35">
      <c r="A102" t="s">
        <v>248</v>
      </c>
      <c r="B102" t="s">
        <v>249</v>
      </c>
      <c r="C102" t="s">
        <v>250</v>
      </c>
      <c r="D102">
        <v>26</v>
      </c>
      <c r="E102" t="s">
        <v>22</v>
      </c>
      <c r="F102" t="s">
        <v>33</v>
      </c>
      <c r="G102" t="s">
        <v>24</v>
      </c>
      <c r="H102" t="s">
        <v>70</v>
      </c>
      <c r="I102">
        <v>2</v>
      </c>
      <c r="J102">
        <v>41357</v>
      </c>
      <c r="K102" t="s">
        <v>26</v>
      </c>
      <c r="L102">
        <v>6</v>
      </c>
      <c r="M102">
        <v>22</v>
      </c>
      <c r="N102">
        <v>5</v>
      </c>
      <c r="O102" t="s">
        <v>28</v>
      </c>
      <c r="P102" t="s">
        <v>27</v>
      </c>
      <c r="Q102">
        <v>5</v>
      </c>
      <c r="R102" t="s">
        <v>27</v>
      </c>
      <c r="S102" t="s">
        <v>27</v>
      </c>
    </row>
    <row r="103" spans="1:19" x14ac:dyDescent="0.35">
      <c r="A103" t="s">
        <v>251</v>
      </c>
      <c r="B103" t="s">
        <v>252</v>
      </c>
      <c r="C103" t="s">
        <v>21</v>
      </c>
      <c r="D103">
        <v>30</v>
      </c>
      <c r="E103" t="s">
        <v>55</v>
      </c>
      <c r="F103" t="s">
        <v>39</v>
      </c>
      <c r="G103" t="s">
        <v>24</v>
      </c>
      <c r="H103" t="s">
        <v>70</v>
      </c>
      <c r="I103">
        <v>4</v>
      </c>
      <c r="J103">
        <v>63684</v>
      </c>
      <c r="K103" t="s">
        <v>45</v>
      </c>
      <c r="L103">
        <v>8</v>
      </c>
      <c r="M103">
        <v>35</v>
      </c>
      <c r="N103">
        <v>4</v>
      </c>
      <c r="O103" t="s">
        <v>28</v>
      </c>
      <c r="P103" t="s">
        <v>28</v>
      </c>
      <c r="Q103">
        <v>2</v>
      </c>
      <c r="R103" t="s">
        <v>27</v>
      </c>
      <c r="S103" t="s">
        <v>27</v>
      </c>
    </row>
    <row r="104" spans="1:19" x14ac:dyDescent="0.35">
      <c r="A104" t="s">
        <v>253</v>
      </c>
      <c r="B104" t="s">
        <v>254</v>
      </c>
      <c r="C104" t="s">
        <v>31</v>
      </c>
      <c r="D104">
        <v>54</v>
      </c>
      <c r="E104" t="s">
        <v>38</v>
      </c>
      <c r="F104" t="s">
        <v>64</v>
      </c>
      <c r="G104" t="s">
        <v>24</v>
      </c>
      <c r="H104" t="s">
        <v>61</v>
      </c>
      <c r="I104">
        <v>17</v>
      </c>
      <c r="J104">
        <v>72142</v>
      </c>
      <c r="K104" t="s">
        <v>45</v>
      </c>
      <c r="L104">
        <v>5</v>
      </c>
      <c r="M104">
        <v>14</v>
      </c>
      <c r="N104">
        <v>6</v>
      </c>
      <c r="O104" t="s">
        <v>27</v>
      </c>
      <c r="P104" t="s">
        <v>28</v>
      </c>
      <c r="Q104">
        <v>1</v>
      </c>
      <c r="R104" t="s">
        <v>27</v>
      </c>
      <c r="S104" t="s">
        <v>27</v>
      </c>
    </row>
    <row r="105" spans="1:19" x14ac:dyDescent="0.35">
      <c r="A105" t="s">
        <v>255</v>
      </c>
      <c r="B105" t="s">
        <v>256</v>
      </c>
      <c r="C105" t="s">
        <v>21</v>
      </c>
      <c r="D105">
        <v>48</v>
      </c>
      <c r="E105" t="s">
        <v>38</v>
      </c>
      <c r="F105" t="s">
        <v>48</v>
      </c>
      <c r="G105" t="s">
        <v>24</v>
      </c>
      <c r="H105" t="s">
        <v>52</v>
      </c>
      <c r="I105">
        <v>10</v>
      </c>
      <c r="J105">
        <v>60209</v>
      </c>
      <c r="K105" t="s">
        <v>26</v>
      </c>
      <c r="L105">
        <v>9</v>
      </c>
      <c r="M105">
        <v>33</v>
      </c>
      <c r="N105">
        <v>1</v>
      </c>
      <c r="O105" t="s">
        <v>28</v>
      </c>
      <c r="P105" t="s">
        <v>28</v>
      </c>
      <c r="Q105">
        <v>1</v>
      </c>
      <c r="R105" t="s">
        <v>27</v>
      </c>
      <c r="S105" t="s">
        <v>27</v>
      </c>
    </row>
    <row r="106" spans="1:19" x14ac:dyDescent="0.35">
      <c r="A106" t="s">
        <v>257</v>
      </c>
      <c r="B106" t="s">
        <v>258</v>
      </c>
      <c r="C106" t="s">
        <v>21</v>
      </c>
      <c r="D106">
        <v>44</v>
      </c>
      <c r="E106" t="s">
        <v>22</v>
      </c>
      <c r="F106" t="s">
        <v>39</v>
      </c>
      <c r="G106" t="s">
        <v>24</v>
      </c>
      <c r="H106" t="s">
        <v>34</v>
      </c>
      <c r="I106">
        <v>13</v>
      </c>
      <c r="J106">
        <v>57689</v>
      </c>
      <c r="K106" t="s">
        <v>35</v>
      </c>
      <c r="L106">
        <v>10</v>
      </c>
      <c r="M106">
        <v>51</v>
      </c>
      <c r="N106">
        <v>5</v>
      </c>
      <c r="O106" t="s">
        <v>28</v>
      </c>
      <c r="P106" t="s">
        <v>27</v>
      </c>
      <c r="Q106">
        <v>2</v>
      </c>
      <c r="R106" t="s">
        <v>28</v>
      </c>
      <c r="S106" t="s">
        <v>27</v>
      </c>
    </row>
    <row r="107" spans="1:19" x14ac:dyDescent="0.35">
      <c r="A107" t="s">
        <v>259</v>
      </c>
      <c r="B107" t="s">
        <v>260</v>
      </c>
      <c r="C107" t="s">
        <v>31</v>
      </c>
      <c r="D107">
        <v>29</v>
      </c>
      <c r="E107" t="s">
        <v>38</v>
      </c>
      <c r="F107" t="s">
        <v>33</v>
      </c>
      <c r="G107" t="s">
        <v>44</v>
      </c>
      <c r="H107" t="s">
        <v>34</v>
      </c>
      <c r="I107">
        <v>5</v>
      </c>
      <c r="J107">
        <v>64326</v>
      </c>
      <c r="K107" t="s">
        <v>26</v>
      </c>
      <c r="L107">
        <v>8</v>
      </c>
      <c r="M107">
        <v>45</v>
      </c>
      <c r="N107">
        <v>3</v>
      </c>
      <c r="O107" t="s">
        <v>28</v>
      </c>
      <c r="P107" t="s">
        <v>28</v>
      </c>
      <c r="Q107">
        <v>4</v>
      </c>
      <c r="R107" t="s">
        <v>27</v>
      </c>
      <c r="S107" t="s">
        <v>27</v>
      </c>
    </row>
    <row r="108" spans="1:19" x14ac:dyDescent="0.35">
      <c r="A108" t="s">
        <v>261</v>
      </c>
      <c r="B108" t="s">
        <v>262</v>
      </c>
      <c r="C108" t="s">
        <v>21</v>
      </c>
      <c r="D108">
        <v>29</v>
      </c>
      <c r="E108" t="s">
        <v>55</v>
      </c>
      <c r="F108" t="s">
        <v>23</v>
      </c>
      <c r="G108" t="s">
        <v>24</v>
      </c>
      <c r="H108" t="s">
        <v>34</v>
      </c>
      <c r="I108">
        <v>6</v>
      </c>
      <c r="J108">
        <v>72840</v>
      </c>
      <c r="K108" t="s">
        <v>26</v>
      </c>
      <c r="L108">
        <v>9</v>
      </c>
      <c r="M108">
        <v>37</v>
      </c>
      <c r="N108">
        <v>4</v>
      </c>
      <c r="O108" t="s">
        <v>27</v>
      </c>
      <c r="P108" t="s">
        <v>28</v>
      </c>
      <c r="Q108">
        <v>1</v>
      </c>
      <c r="R108" t="s">
        <v>28</v>
      </c>
      <c r="S108" t="s">
        <v>27</v>
      </c>
    </row>
    <row r="109" spans="1:19" x14ac:dyDescent="0.35">
      <c r="A109" t="s">
        <v>263</v>
      </c>
      <c r="B109" t="s">
        <v>264</v>
      </c>
      <c r="C109" t="s">
        <v>21</v>
      </c>
      <c r="D109">
        <v>52</v>
      </c>
      <c r="E109" t="s">
        <v>55</v>
      </c>
      <c r="F109" t="s">
        <v>64</v>
      </c>
      <c r="G109" t="s">
        <v>24</v>
      </c>
      <c r="H109" t="s">
        <v>52</v>
      </c>
      <c r="I109">
        <v>11</v>
      </c>
      <c r="J109">
        <v>48405</v>
      </c>
      <c r="K109" t="s">
        <v>45</v>
      </c>
      <c r="L109">
        <v>5</v>
      </c>
      <c r="M109">
        <v>13</v>
      </c>
      <c r="N109">
        <v>3</v>
      </c>
      <c r="O109" t="s">
        <v>27</v>
      </c>
      <c r="P109" t="s">
        <v>28</v>
      </c>
      <c r="Q109">
        <v>4</v>
      </c>
      <c r="R109" t="s">
        <v>27</v>
      </c>
      <c r="S109" t="s">
        <v>27</v>
      </c>
    </row>
    <row r="110" spans="1:19" x14ac:dyDescent="0.35">
      <c r="A110" t="s">
        <v>265</v>
      </c>
      <c r="B110" t="s">
        <v>266</v>
      </c>
      <c r="C110" t="s">
        <v>21</v>
      </c>
      <c r="D110">
        <v>25</v>
      </c>
      <c r="E110" t="s">
        <v>55</v>
      </c>
      <c r="F110" t="s">
        <v>48</v>
      </c>
      <c r="G110" t="s">
        <v>24</v>
      </c>
      <c r="H110" t="s">
        <v>61</v>
      </c>
      <c r="I110">
        <v>3</v>
      </c>
      <c r="J110">
        <v>41708</v>
      </c>
      <c r="K110" t="s">
        <v>45</v>
      </c>
      <c r="L110">
        <v>2</v>
      </c>
      <c r="M110">
        <v>35</v>
      </c>
      <c r="N110">
        <v>4</v>
      </c>
      <c r="O110" t="s">
        <v>27</v>
      </c>
      <c r="P110" t="s">
        <v>28</v>
      </c>
      <c r="Q110">
        <v>2</v>
      </c>
      <c r="R110" t="s">
        <v>27</v>
      </c>
      <c r="S110" t="s">
        <v>27</v>
      </c>
    </row>
    <row r="111" spans="1:19" x14ac:dyDescent="0.35">
      <c r="A111" t="s">
        <v>267</v>
      </c>
      <c r="B111" t="s">
        <v>268</v>
      </c>
      <c r="C111" t="s">
        <v>31</v>
      </c>
      <c r="D111">
        <v>29</v>
      </c>
      <c r="E111" t="s">
        <v>38</v>
      </c>
      <c r="F111" t="s">
        <v>48</v>
      </c>
      <c r="G111" t="s">
        <v>69</v>
      </c>
      <c r="H111" t="s">
        <v>61</v>
      </c>
      <c r="I111">
        <v>6</v>
      </c>
      <c r="J111">
        <v>45755</v>
      </c>
      <c r="K111" t="s">
        <v>26</v>
      </c>
      <c r="L111">
        <v>1</v>
      </c>
      <c r="M111">
        <v>28</v>
      </c>
      <c r="N111">
        <v>2</v>
      </c>
      <c r="O111" t="s">
        <v>28</v>
      </c>
      <c r="P111" t="s">
        <v>28</v>
      </c>
      <c r="Q111">
        <v>2</v>
      </c>
      <c r="R111" t="s">
        <v>27</v>
      </c>
      <c r="S111" t="s">
        <v>27</v>
      </c>
    </row>
    <row r="112" spans="1:19" x14ac:dyDescent="0.35">
      <c r="A112" t="s">
        <v>269</v>
      </c>
      <c r="B112" t="s">
        <v>270</v>
      </c>
      <c r="C112" t="s">
        <v>31</v>
      </c>
      <c r="D112">
        <v>48</v>
      </c>
      <c r="E112" t="s">
        <v>55</v>
      </c>
      <c r="F112" t="s">
        <v>39</v>
      </c>
      <c r="G112" t="s">
        <v>24</v>
      </c>
      <c r="H112" t="s">
        <v>34</v>
      </c>
      <c r="I112">
        <v>19</v>
      </c>
      <c r="J112">
        <v>56748</v>
      </c>
      <c r="K112" t="s">
        <v>35</v>
      </c>
      <c r="L112">
        <v>10</v>
      </c>
      <c r="M112">
        <v>36</v>
      </c>
      <c r="N112">
        <v>1</v>
      </c>
      <c r="O112" t="s">
        <v>28</v>
      </c>
      <c r="P112" t="s">
        <v>28</v>
      </c>
      <c r="Q112">
        <v>4</v>
      </c>
      <c r="R112" t="s">
        <v>27</v>
      </c>
      <c r="S112" t="s">
        <v>27</v>
      </c>
    </row>
    <row r="113" spans="1:19" x14ac:dyDescent="0.35">
      <c r="A113" t="s">
        <v>271</v>
      </c>
      <c r="B113" t="s">
        <v>272</v>
      </c>
      <c r="C113" t="s">
        <v>31</v>
      </c>
      <c r="D113">
        <v>47</v>
      </c>
      <c r="E113" t="s">
        <v>55</v>
      </c>
      <c r="F113" t="s">
        <v>48</v>
      </c>
      <c r="G113" t="s">
        <v>24</v>
      </c>
      <c r="H113" t="s">
        <v>52</v>
      </c>
      <c r="I113">
        <v>14</v>
      </c>
      <c r="J113">
        <v>57256</v>
      </c>
      <c r="K113" t="s">
        <v>26</v>
      </c>
      <c r="L113">
        <v>10</v>
      </c>
      <c r="M113">
        <v>39</v>
      </c>
      <c r="N113">
        <v>1</v>
      </c>
      <c r="O113" t="s">
        <v>27</v>
      </c>
      <c r="P113" t="s">
        <v>28</v>
      </c>
      <c r="Q113">
        <v>1</v>
      </c>
      <c r="R113" t="s">
        <v>27</v>
      </c>
      <c r="S113" t="s">
        <v>27</v>
      </c>
    </row>
    <row r="114" spans="1:19" x14ac:dyDescent="0.35">
      <c r="A114" t="s">
        <v>273</v>
      </c>
      <c r="B114" t="s">
        <v>274</v>
      </c>
      <c r="C114" t="s">
        <v>21</v>
      </c>
      <c r="D114">
        <v>33</v>
      </c>
      <c r="E114" t="s">
        <v>55</v>
      </c>
      <c r="F114" t="s">
        <v>48</v>
      </c>
      <c r="G114" t="s">
        <v>24</v>
      </c>
      <c r="H114" t="s">
        <v>131</v>
      </c>
      <c r="I114">
        <v>9</v>
      </c>
      <c r="J114">
        <v>67059</v>
      </c>
      <c r="K114" t="s">
        <v>35</v>
      </c>
      <c r="L114">
        <v>2</v>
      </c>
      <c r="M114">
        <v>12</v>
      </c>
      <c r="N114">
        <v>6</v>
      </c>
      <c r="O114" t="s">
        <v>27</v>
      </c>
      <c r="P114" t="s">
        <v>28</v>
      </c>
      <c r="Q114">
        <v>3</v>
      </c>
      <c r="R114" t="s">
        <v>27</v>
      </c>
      <c r="S114" t="s">
        <v>28</v>
      </c>
    </row>
    <row r="115" spans="1:19" x14ac:dyDescent="0.35">
      <c r="A115" t="s">
        <v>275</v>
      </c>
      <c r="B115" t="s">
        <v>276</v>
      </c>
      <c r="C115" t="s">
        <v>21</v>
      </c>
      <c r="D115">
        <v>29</v>
      </c>
      <c r="E115" t="s">
        <v>55</v>
      </c>
      <c r="F115" t="s">
        <v>64</v>
      </c>
      <c r="G115" t="s">
        <v>24</v>
      </c>
      <c r="H115" t="s">
        <v>131</v>
      </c>
      <c r="I115">
        <v>4</v>
      </c>
      <c r="J115">
        <v>51049</v>
      </c>
      <c r="K115" t="s">
        <v>26</v>
      </c>
      <c r="L115">
        <v>5</v>
      </c>
      <c r="M115">
        <v>19</v>
      </c>
      <c r="N115">
        <v>4</v>
      </c>
      <c r="O115" t="s">
        <v>27</v>
      </c>
      <c r="P115" t="s">
        <v>28</v>
      </c>
      <c r="Q115">
        <v>2</v>
      </c>
      <c r="R115" t="s">
        <v>27</v>
      </c>
      <c r="S115" t="s">
        <v>27</v>
      </c>
    </row>
    <row r="116" spans="1:19" x14ac:dyDescent="0.35">
      <c r="A116" t="s">
        <v>277</v>
      </c>
      <c r="B116" t="s">
        <v>278</v>
      </c>
      <c r="C116" t="s">
        <v>31</v>
      </c>
      <c r="D116">
        <v>22</v>
      </c>
      <c r="E116" t="s">
        <v>55</v>
      </c>
      <c r="F116" t="s">
        <v>23</v>
      </c>
      <c r="G116" t="s">
        <v>24</v>
      </c>
      <c r="H116" t="s">
        <v>52</v>
      </c>
      <c r="I116">
        <v>1</v>
      </c>
      <c r="J116">
        <v>68843</v>
      </c>
      <c r="K116" t="s">
        <v>45</v>
      </c>
      <c r="L116">
        <v>10</v>
      </c>
      <c r="M116">
        <v>30</v>
      </c>
      <c r="N116">
        <v>0</v>
      </c>
      <c r="O116" t="s">
        <v>27</v>
      </c>
      <c r="P116" t="s">
        <v>28</v>
      </c>
      <c r="Q116">
        <v>2</v>
      </c>
      <c r="R116" t="s">
        <v>28</v>
      </c>
      <c r="S116" t="s">
        <v>27</v>
      </c>
    </row>
    <row r="117" spans="1:19" x14ac:dyDescent="0.35">
      <c r="A117" t="s">
        <v>279</v>
      </c>
      <c r="B117" t="s">
        <v>280</v>
      </c>
      <c r="C117" t="s">
        <v>31</v>
      </c>
      <c r="D117">
        <v>45</v>
      </c>
      <c r="E117" t="s">
        <v>22</v>
      </c>
      <c r="F117" t="s">
        <v>23</v>
      </c>
      <c r="G117" t="s">
        <v>24</v>
      </c>
      <c r="H117" t="s">
        <v>131</v>
      </c>
      <c r="I117">
        <v>12</v>
      </c>
      <c r="J117">
        <v>67514</v>
      </c>
      <c r="K117" t="s">
        <v>26</v>
      </c>
      <c r="L117">
        <v>10</v>
      </c>
      <c r="M117">
        <v>35</v>
      </c>
      <c r="N117">
        <v>0</v>
      </c>
      <c r="O117" t="s">
        <v>27</v>
      </c>
      <c r="P117" t="s">
        <v>28</v>
      </c>
      <c r="Q117">
        <v>3</v>
      </c>
      <c r="R117" t="s">
        <v>27</v>
      </c>
      <c r="S117" t="s">
        <v>27</v>
      </c>
    </row>
    <row r="118" spans="1:19" x14ac:dyDescent="0.35">
      <c r="A118" t="s">
        <v>281</v>
      </c>
      <c r="B118" t="s">
        <v>282</v>
      </c>
      <c r="C118" t="s">
        <v>31</v>
      </c>
      <c r="D118">
        <v>24</v>
      </c>
      <c r="E118" t="s">
        <v>55</v>
      </c>
      <c r="F118" t="s">
        <v>43</v>
      </c>
      <c r="G118" t="s">
        <v>24</v>
      </c>
      <c r="H118" t="s">
        <v>52</v>
      </c>
      <c r="I118">
        <v>2</v>
      </c>
      <c r="J118">
        <v>65088</v>
      </c>
      <c r="K118" t="s">
        <v>45</v>
      </c>
      <c r="L118">
        <v>8</v>
      </c>
      <c r="M118">
        <v>20</v>
      </c>
      <c r="N118">
        <v>6</v>
      </c>
      <c r="O118" t="s">
        <v>27</v>
      </c>
      <c r="P118" t="s">
        <v>28</v>
      </c>
      <c r="Q118">
        <v>3</v>
      </c>
      <c r="R118" t="s">
        <v>27</v>
      </c>
      <c r="S118" t="s">
        <v>27</v>
      </c>
    </row>
    <row r="119" spans="1:19" x14ac:dyDescent="0.35">
      <c r="A119" t="s">
        <v>283</v>
      </c>
      <c r="B119" t="s">
        <v>284</v>
      </c>
      <c r="C119" t="s">
        <v>21</v>
      </c>
      <c r="D119">
        <v>50</v>
      </c>
      <c r="E119" t="s">
        <v>55</v>
      </c>
      <c r="F119" t="s">
        <v>23</v>
      </c>
      <c r="G119" t="s">
        <v>24</v>
      </c>
      <c r="H119" t="s">
        <v>25</v>
      </c>
      <c r="I119">
        <v>13</v>
      </c>
      <c r="J119">
        <v>79644</v>
      </c>
      <c r="K119" t="s">
        <v>35</v>
      </c>
      <c r="L119">
        <v>4</v>
      </c>
      <c r="M119">
        <v>43</v>
      </c>
      <c r="N119">
        <v>5</v>
      </c>
      <c r="O119" t="s">
        <v>28</v>
      </c>
      <c r="P119" t="s">
        <v>27</v>
      </c>
      <c r="Q119">
        <v>4</v>
      </c>
      <c r="R119" t="s">
        <v>27</v>
      </c>
      <c r="S119" t="s">
        <v>27</v>
      </c>
    </row>
    <row r="120" spans="1:19" x14ac:dyDescent="0.35">
      <c r="A120" t="s">
        <v>285</v>
      </c>
      <c r="B120" t="s">
        <v>286</v>
      </c>
      <c r="C120" t="s">
        <v>31</v>
      </c>
      <c r="D120">
        <v>44</v>
      </c>
      <c r="E120" t="s">
        <v>55</v>
      </c>
      <c r="F120" t="s">
        <v>60</v>
      </c>
      <c r="G120" t="s">
        <v>69</v>
      </c>
      <c r="H120" t="s">
        <v>34</v>
      </c>
      <c r="I120">
        <v>11</v>
      </c>
      <c r="J120">
        <v>67089</v>
      </c>
      <c r="K120" t="s">
        <v>45</v>
      </c>
      <c r="L120">
        <v>5</v>
      </c>
      <c r="M120">
        <v>40</v>
      </c>
      <c r="N120">
        <v>4</v>
      </c>
      <c r="O120" t="s">
        <v>27</v>
      </c>
      <c r="P120" t="s">
        <v>28</v>
      </c>
      <c r="Q120">
        <v>4</v>
      </c>
      <c r="R120" t="s">
        <v>27</v>
      </c>
      <c r="S120" t="s">
        <v>27</v>
      </c>
    </row>
    <row r="121" spans="1:19" x14ac:dyDescent="0.35">
      <c r="A121" t="s">
        <v>287</v>
      </c>
      <c r="B121" t="s">
        <v>288</v>
      </c>
      <c r="C121" t="s">
        <v>31</v>
      </c>
      <c r="D121">
        <v>47</v>
      </c>
      <c r="E121" t="s">
        <v>55</v>
      </c>
      <c r="F121" t="s">
        <v>48</v>
      </c>
      <c r="G121" t="s">
        <v>24</v>
      </c>
      <c r="H121" t="s">
        <v>52</v>
      </c>
      <c r="I121">
        <v>10</v>
      </c>
      <c r="J121">
        <v>60667</v>
      </c>
      <c r="K121" t="s">
        <v>26</v>
      </c>
      <c r="L121">
        <v>5</v>
      </c>
      <c r="M121">
        <v>60</v>
      </c>
      <c r="N121">
        <v>7</v>
      </c>
      <c r="O121" t="s">
        <v>27</v>
      </c>
      <c r="P121" t="s">
        <v>28</v>
      </c>
      <c r="Q121">
        <v>1</v>
      </c>
      <c r="R121" t="s">
        <v>27</v>
      </c>
      <c r="S121" t="s">
        <v>27</v>
      </c>
    </row>
    <row r="122" spans="1:19" x14ac:dyDescent="0.35">
      <c r="A122" t="s">
        <v>289</v>
      </c>
      <c r="B122" t="s">
        <v>290</v>
      </c>
      <c r="C122" t="s">
        <v>21</v>
      </c>
      <c r="D122">
        <v>28</v>
      </c>
      <c r="E122" t="s">
        <v>55</v>
      </c>
      <c r="F122" t="s">
        <v>39</v>
      </c>
      <c r="G122" t="s">
        <v>44</v>
      </c>
      <c r="H122" t="s">
        <v>25</v>
      </c>
      <c r="I122">
        <v>5</v>
      </c>
      <c r="J122">
        <v>49919</v>
      </c>
      <c r="K122" t="s">
        <v>26</v>
      </c>
      <c r="L122">
        <v>0</v>
      </c>
      <c r="M122">
        <v>36</v>
      </c>
      <c r="N122">
        <v>6</v>
      </c>
      <c r="O122" t="s">
        <v>27</v>
      </c>
      <c r="P122" t="s">
        <v>27</v>
      </c>
      <c r="Q122">
        <v>5</v>
      </c>
      <c r="R122" t="s">
        <v>27</v>
      </c>
      <c r="S122" t="s">
        <v>27</v>
      </c>
    </row>
    <row r="123" spans="1:19" x14ac:dyDescent="0.35">
      <c r="A123" t="s">
        <v>291</v>
      </c>
      <c r="B123" t="s">
        <v>292</v>
      </c>
      <c r="C123" t="s">
        <v>21</v>
      </c>
      <c r="D123">
        <v>51</v>
      </c>
      <c r="E123" t="s">
        <v>55</v>
      </c>
      <c r="F123" t="s">
        <v>48</v>
      </c>
      <c r="G123" t="s">
        <v>69</v>
      </c>
      <c r="H123" t="s">
        <v>70</v>
      </c>
      <c r="I123">
        <v>25</v>
      </c>
      <c r="J123">
        <v>56313</v>
      </c>
      <c r="K123" t="s">
        <v>26</v>
      </c>
      <c r="L123">
        <v>7</v>
      </c>
      <c r="M123">
        <v>23</v>
      </c>
      <c r="N123">
        <v>5</v>
      </c>
      <c r="O123" t="s">
        <v>27</v>
      </c>
      <c r="P123" t="s">
        <v>28</v>
      </c>
      <c r="Q123">
        <v>3</v>
      </c>
      <c r="R123" t="s">
        <v>27</v>
      </c>
      <c r="S123" t="s">
        <v>27</v>
      </c>
    </row>
    <row r="124" spans="1:19" x14ac:dyDescent="0.35">
      <c r="A124" t="s">
        <v>293</v>
      </c>
      <c r="B124" t="s">
        <v>294</v>
      </c>
      <c r="C124" t="s">
        <v>31</v>
      </c>
      <c r="D124">
        <v>30</v>
      </c>
      <c r="E124" t="s">
        <v>22</v>
      </c>
      <c r="F124" t="s">
        <v>43</v>
      </c>
      <c r="G124" t="s">
        <v>44</v>
      </c>
      <c r="H124" t="s">
        <v>49</v>
      </c>
      <c r="I124">
        <v>5</v>
      </c>
      <c r="J124">
        <v>70395</v>
      </c>
      <c r="K124" t="s">
        <v>45</v>
      </c>
      <c r="L124">
        <v>5</v>
      </c>
      <c r="M124">
        <v>22</v>
      </c>
      <c r="N124">
        <v>7</v>
      </c>
      <c r="O124" t="s">
        <v>27</v>
      </c>
      <c r="P124" t="s">
        <v>27</v>
      </c>
      <c r="Q124">
        <v>2</v>
      </c>
      <c r="R124" t="s">
        <v>27</v>
      </c>
      <c r="S124" t="s">
        <v>27</v>
      </c>
    </row>
    <row r="125" spans="1:19" x14ac:dyDescent="0.35">
      <c r="A125" t="s">
        <v>295</v>
      </c>
      <c r="B125" t="s">
        <v>296</v>
      </c>
      <c r="C125" t="s">
        <v>31</v>
      </c>
      <c r="D125">
        <v>22</v>
      </c>
      <c r="E125" t="s">
        <v>38</v>
      </c>
      <c r="F125" t="s">
        <v>60</v>
      </c>
      <c r="G125" t="s">
        <v>24</v>
      </c>
      <c r="H125" t="s">
        <v>49</v>
      </c>
      <c r="I125">
        <v>1</v>
      </c>
      <c r="J125">
        <v>63566</v>
      </c>
      <c r="K125" t="s">
        <v>45</v>
      </c>
      <c r="L125">
        <v>9</v>
      </c>
      <c r="M125">
        <v>31</v>
      </c>
      <c r="N125">
        <v>7</v>
      </c>
      <c r="O125" t="s">
        <v>28</v>
      </c>
      <c r="P125" t="s">
        <v>28</v>
      </c>
      <c r="Q125">
        <v>5</v>
      </c>
      <c r="R125" t="s">
        <v>27</v>
      </c>
      <c r="S125" t="s">
        <v>27</v>
      </c>
    </row>
    <row r="126" spans="1:19" x14ac:dyDescent="0.35">
      <c r="A126" t="s">
        <v>297</v>
      </c>
      <c r="B126" t="s">
        <v>298</v>
      </c>
      <c r="C126" t="s">
        <v>31</v>
      </c>
      <c r="D126">
        <v>36</v>
      </c>
      <c r="E126" t="s">
        <v>55</v>
      </c>
      <c r="F126" t="s">
        <v>23</v>
      </c>
      <c r="G126" t="s">
        <v>24</v>
      </c>
      <c r="H126" t="s">
        <v>49</v>
      </c>
      <c r="I126">
        <v>12</v>
      </c>
      <c r="J126">
        <v>73027</v>
      </c>
      <c r="K126" t="s">
        <v>35</v>
      </c>
      <c r="L126">
        <v>6</v>
      </c>
      <c r="M126">
        <v>15</v>
      </c>
      <c r="N126">
        <v>5</v>
      </c>
      <c r="O126" t="s">
        <v>28</v>
      </c>
      <c r="P126" t="s">
        <v>28</v>
      </c>
      <c r="Q126">
        <v>3</v>
      </c>
      <c r="R126" t="s">
        <v>27</v>
      </c>
      <c r="S126" t="s">
        <v>27</v>
      </c>
    </row>
    <row r="127" spans="1:19" x14ac:dyDescent="0.35">
      <c r="A127" t="s">
        <v>299</v>
      </c>
      <c r="B127" t="s">
        <v>300</v>
      </c>
      <c r="C127" t="s">
        <v>21</v>
      </c>
      <c r="D127">
        <v>39</v>
      </c>
      <c r="E127" t="s">
        <v>55</v>
      </c>
      <c r="F127" t="s">
        <v>60</v>
      </c>
      <c r="G127" t="s">
        <v>69</v>
      </c>
      <c r="H127" t="s">
        <v>131</v>
      </c>
      <c r="I127">
        <v>11</v>
      </c>
      <c r="J127">
        <v>51940</v>
      </c>
      <c r="K127" t="s">
        <v>35</v>
      </c>
      <c r="L127">
        <v>7</v>
      </c>
      <c r="M127">
        <v>26</v>
      </c>
      <c r="N127">
        <v>6</v>
      </c>
      <c r="O127" t="s">
        <v>28</v>
      </c>
      <c r="P127" t="s">
        <v>28</v>
      </c>
      <c r="Q127">
        <v>2</v>
      </c>
      <c r="R127" t="s">
        <v>27</v>
      </c>
      <c r="S127" t="s">
        <v>27</v>
      </c>
    </row>
    <row r="128" spans="1:19" x14ac:dyDescent="0.35">
      <c r="A128" t="s">
        <v>301</v>
      </c>
      <c r="B128" t="s">
        <v>302</v>
      </c>
      <c r="C128" t="s">
        <v>31</v>
      </c>
      <c r="D128">
        <v>34</v>
      </c>
      <c r="E128" t="s">
        <v>22</v>
      </c>
      <c r="F128" t="s">
        <v>48</v>
      </c>
      <c r="G128" t="s">
        <v>24</v>
      </c>
      <c r="H128" t="s">
        <v>70</v>
      </c>
      <c r="I128">
        <v>10</v>
      </c>
      <c r="J128">
        <v>45344</v>
      </c>
      <c r="K128" t="s">
        <v>45</v>
      </c>
      <c r="L128">
        <v>3</v>
      </c>
      <c r="M128">
        <v>31</v>
      </c>
      <c r="N128">
        <v>2</v>
      </c>
      <c r="O128" t="s">
        <v>27</v>
      </c>
      <c r="P128" t="s">
        <v>27</v>
      </c>
      <c r="Q128">
        <v>4</v>
      </c>
      <c r="R128" t="s">
        <v>27</v>
      </c>
      <c r="S128" t="s">
        <v>27</v>
      </c>
    </row>
    <row r="129" spans="1:19" x14ac:dyDescent="0.35">
      <c r="A129" t="s">
        <v>303</v>
      </c>
      <c r="B129" t="s">
        <v>304</v>
      </c>
      <c r="C129" t="s">
        <v>21</v>
      </c>
      <c r="D129">
        <v>54</v>
      </c>
      <c r="E129" t="s">
        <v>55</v>
      </c>
      <c r="F129" t="s">
        <v>43</v>
      </c>
      <c r="G129" t="s">
        <v>44</v>
      </c>
      <c r="H129" t="s">
        <v>61</v>
      </c>
      <c r="I129">
        <v>20</v>
      </c>
      <c r="J129">
        <v>82000</v>
      </c>
      <c r="K129" t="s">
        <v>26</v>
      </c>
      <c r="L129">
        <v>8</v>
      </c>
      <c r="M129">
        <v>36</v>
      </c>
      <c r="N129">
        <v>4</v>
      </c>
      <c r="O129" t="s">
        <v>27</v>
      </c>
      <c r="P129" t="s">
        <v>28</v>
      </c>
      <c r="Q129">
        <v>2</v>
      </c>
      <c r="R129" t="s">
        <v>27</v>
      </c>
      <c r="S129" t="s">
        <v>27</v>
      </c>
    </row>
    <row r="130" spans="1:19" x14ac:dyDescent="0.35">
      <c r="A130" t="s">
        <v>305</v>
      </c>
      <c r="B130" t="s">
        <v>306</v>
      </c>
      <c r="C130" t="s">
        <v>31</v>
      </c>
      <c r="D130">
        <v>32</v>
      </c>
      <c r="E130" t="s">
        <v>55</v>
      </c>
      <c r="F130" t="s">
        <v>23</v>
      </c>
      <c r="G130" t="s">
        <v>24</v>
      </c>
      <c r="H130" t="s">
        <v>70</v>
      </c>
      <c r="I130">
        <v>9</v>
      </c>
      <c r="J130">
        <v>68836</v>
      </c>
      <c r="K130" t="s">
        <v>26</v>
      </c>
      <c r="L130">
        <v>5</v>
      </c>
      <c r="M130">
        <v>25</v>
      </c>
      <c r="N130">
        <v>2</v>
      </c>
      <c r="O130" t="s">
        <v>28</v>
      </c>
      <c r="P130" t="s">
        <v>28</v>
      </c>
      <c r="Q130">
        <v>4</v>
      </c>
      <c r="R130" t="s">
        <v>27</v>
      </c>
      <c r="S130" t="s">
        <v>27</v>
      </c>
    </row>
    <row r="131" spans="1:19" x14ac:dyDescent="0.35">
      <c r="A131" t="s">
        <v>307</v>
      </c>
      <c r="B131" t="s">
        <v>308</v>
      </c>
      <c r="C131" t="s">
        <v>21</v>
      </c>
      <c r="D131">
        <v>24</v>
      </c>
      <c r="E131" t="s">
        <v>55</v>
      </c>
      <c r="F131" t="s">
        <v>23</v>
      </c>
      <c r="G131" t="s">
        <v>24</v>
      </c>
      <c r="H131" t="s">
        <v>131</v>
      </c>
      <c r="I131">
        <v>2</v>
      </c>
      <c r="J131">
        <v>63310</v>
      </c>
      <c r="K131" t="s">
        <v>26</v>
      </c>
      <c r="L131">
        <v>1</v>
      </c>
      <c r="M131">
        <v>44</v>
      </c>
      <c r="N131">
        <v>6</v>
      </c>
      <c r="O131" t="s">
        <v>27</v>
      </c>
      <c r="P131" t="s">
        <v>27</v>
      </c>
      <c r="Q131">
        <v>1</v>
      </c>
      <c r="R131" t="s">
        <v>27</v>
      </c>
      <c r="S131" t="s">
        <v>27</v>
      </c>
    </row>
    <row r="132" spans="1:19" x14ac:dyDescent="0.35">
      <c r="A132" t="s">
        <v>309</v>
      </c>
      <c r="B132" t="s">
        <v>310</v>
      </c>
      <c r="C132" t="s">
        <v>31</v>
      </c>
      <c r="D132">
        <v>31</v>
      </c>
      <c r="E132" t="s">
        <v>55</v>
      </c>
      <c r="F132" t="s">
        <v>43</v>
      </c>
      <c r="G132" t="s">
        <v>24</v>
      </c>
      <c r="H132" t="s">
        <v>70</v>
      </c>
      <c r="I132">
        <v>5</v>
      </c>
      <c r="J132">
        <v>78071</v>
      </c>
      <c r="K132" t="s">
        <v>26</v>
      </c>
      <c r="L132">
        <v>2</v>
      </c>
      <c r="M132">
        <v>15</v>
      </c>
      <c r="N132">
        <v>3</v>
      </c>
      <c r="O132" t="s">
        <v>27</v>
      </c>
      <c r="P132" t="s">
        <v>27</v>
      </c>
      <c r="Q132">
        <v>4</v>
      </c>
      <c r="R132" t="s">
        <v>27</v>
      </c>
      <c r="S132" t="s">
        <v>27</v>
      </c>
    </row>
    <row r="133" spans="1:19" x14ac:dyDescent="0.35">
      <c r="A133" t="s">
        <v>311</v>
      </c>
      <c r="B133" t="s">
        <v>312</v>
      </c>
      <c r="C133" t="s">
        <v>21</v>
      </c>
      <c r="D133">
        <v>26</v>
      </c>
      <c r="E133" t="s">
        <v>55</v>
      </c>
      <c r="F133" t="s">
        <v>43</v>
      </c>
      <c r="G133" t="s">
        <v>24</v>
      </c>
      <c r="H133" t="s">
        <v>131</v>
      </c>
      <c r="I133">
        <v>2</v>
      </c>
      <c r="J133">
        <v>60196</v>
      </c>
      <c r="K133" t="s">
        <v>26</v>
      </c>
      <c r="L133">
        <v>3</v>
      </c>
      <c r="M133">
        <v>31</v>
      </c>
      <c r="N133">
        <v>7</v>
      </c>
      <c r="O133" t="s">
        <v>28</v>
      </c>
      <c r="P133" t="s">
        <v>28</v>
      </c>
      <c r="Q133">
        <v>1</v>
      </c>
      <c r="R133" t="s">
        <v>27</v>
      </c>
      <c r="S133" t="s">
        <v>27</v>
      </c>
    </row>
    <row r="134" spans="1:19" x14ac:dyDescent="0.35">
      <c r="A134" t="s">
        <v>313</v>
      </c>
      <c r="B134" t="s">
        <v>314</v>
      </c>
      <c r="C134" t="s">
        <v>21</v>
      </c>
      <c r="D134">
        <v>54</v>
      </c>
      <c r="E134" t="s">
        <v>38</v>
      </c>
      <c r="F134" t="s">
        <v>33</v>
      </c>
      <c r="G134" t="s">
        <v>24</v>
      </c>
      <c r="H134" t="s">
        <v>70</v>
      </c>
      <c r="I134">
        <v>17</v>
      </c>
      <c r="J134">
        <v>57035</v>
      </c>
      <c r="K134" t="s">
        <v>35</v>
      </c>
      <c r="L134">
        <v>10</v>
      </c>
      <c r="M134">
        <v>30</v>
      </c>
      <c r="N134">
        <v>4</v>
      </c>
      <c r="O134" t="s">
        <v>28</v>
      </c>
      <c r="P134" t="s">
        <v>28</v>
      </c>
      <c r="Q134">
        <v>5</v>
      </c>
      <c r="R134" t="s">
        <v>27</v>
      </c>
      <c r="S134" t="s">
        <v>28</v>
      </c>
    </row>
    <row r="135" spans="1:19" x14ac:dyDescent="0.35">
      <c r="A135" t="s">
        <v>315</v>
      </c>
      <c r="B135" t="s">
        <v>316</v>
      </c>
      <c r="C135" t="s">
        <v>31</v>
      </c>
      <c r="D135">
        <v>48</v>
      </c>
      <c r="E135" t="s">
        <v>32</v>
      </c>
      <c r="F135" t="s">
        <v>39</v>
      </c>
      <c r="G135" t="s">
        <v>69</v>
      </c>
      <c r="H135" t="s">
        <v>52</v>
      </c>
      <c r="I135">
        <v>22</v>
      </c>
      <c r="J135">
        <v>68789</v>
      </c>
      <c r="K135" t="s">
        <v>26</v>
      </c>
      <c r="L135">
        <v>10</v>
      </c>
      <c r="M135">
        <v>12</v>
      </c>
      <c r="N135">
        <v>2</v>
      </c>
      <c r="O135" t="s">
        <v>28</v>
      </c>
      <c r="P135" t="s">
        <v>28</v>
      </c>
      <c r="Q135">
        <v>2</v>
      </c>
      <c r="R135" t="s">
        <v>28</v>
      </c>
      <c r="S135" t="s">
        <v>27</v>
      </c>
    </row>
    <row r="136" spans="1:19" x14ac:dyDescent="0.35">
      <c r="A136" t="s">
        <v>317</v>
      </c>
      <c r="B136" t="s">
        <v>318</v>
      </c>
      <c r="C136" t="s">
        <v>31</v>
      </c>
      <c r="D136">
        <v>35</v>
      </c>
      <c r="E136" t="s">
        <v>55</v>
      </c>
      <c r="F136" t="s">
        <v>48</v>
      </c>
      <c r="G136" t="s">
        <v>24</v>
      </c>
      <c r="H136" t="s">
        <v>49</v>
      </c>
      <c r="I136">
        <v>11</v>
      </c>
      <c r="J136">
        <v>52727</v>
      </c>
      <c r="K136" t="s">
        <v>45</v>
      </c>
      <c r="L136">
        <v>8</v>
      </c>
      <c r="M136">
        <v>42</v>
      </c>
      <c r="N136">
        <v>1</v>
      </c>
      <c r="O136" t="s">
        <v>27</v>
      </c>
      <c r="P136" t="s">
        <v>27</v>
      </c>
      <c r="Q136">
        <v>1</v>
      </c>
      <c r="R136" t="s">
        <v>27</v>
      </c>
      <c r="S136" t="s">
        <v>27</v>
      </c>
    </row>
    <row r="137" spans="1:19" x14ac:dyDescent="0.35">
      <c r="A137" t="s">
        <v>319</v>
      </c>
      <c r="B137" t="s">
        <v>320</v>
      </c>
      <c r="C137" t="s">
        <v>31</v>
      </c>
      <c r="D137">
        <v>40</v>
      </c>
      <c r="E137" t="s">
        <v>32</v>
      </c>
      <c r="F137" t="s">
        <v>43</v>
      </c>
      <c r="G137" t="s">
        <v>69</v>
      </c>
      <c r="H137" t="s">
        <v>34</v>
      </c>
      <c r="I137">
        <v>12</v>
      </c>
      <c r="J137">
        <v>82000</v>
      </c>
      <c r="K137" t="s">
        <v>35</v>
      </c>
      <c r="L137">
        <v>3</v>
      </c>
      <c r="M137">
        <v>36</v>
      </c>
      <c r="N137">
        <v>3</v>
      </c>
      <c r="O137" t="s">
        <v>27</v>
      </c>
      <c r="P137" t="s">
        <v>27</v>
      </c>
      <c r="Q137">
        <v>3</v>
      </c>
      <c r="R137" t="s">
        <v>28</v>
      </c>
      <c r="S137" t="s">
        <v>27</v>
      </c>
    </row>
    <row r="138" spans="1:19" x14ac:dyDescent="0.35">
      <c r="A138" t="s">
        <v>321</v>
      </c>
      <c r="B138" t="s">
        <v>322</v>
      </c>
      <c r="C138" t="s">
        <v>21</v>
      </c>
      <c r="D138">
        <v>23</v>
      </c>
      <c r="E138" t="s">
        <v>38</v>
      </c>
      <c r="F138" t="s">
        <v>43</v>
      </c>
      <c r="G138" t="s">
        <v>24</v>
      </c>
      <c r="H138" t="s">
        <v>25</v>
      </c>
      <c r="I138">
        <v>1</v>
      </c>
      <c r="J138">
        <v>67393</v>
      </c>
      <c r="K138" t="s">
        <v>45</v>
      </c>
      <c r="L138">
        <v>10</v>
      </c>
      <c r="M138">
        <v>56</v>
      </c>
      <c r="N138">
        <v>3</v>
      </c>
      <c r="O138" t="s">
        <v>27</v>
      </c>
      <c r="P138" t="s">
        <v>28</v>
      </c>
      <c r="Q138">
        <v>3</v>
      </c>
      <c r="R138" t="s">
        <v>27</v>
      </c>
      <c r="S138" t="s">
        <v>27</v>
      </c>
    </row>
    <row r="139" spans="1:19" x14ac:dyDescent="0.35">
      <c r="A139" t="s">
        <v>323</v>
      </c>
      <c r="B139" t="s">
        <v>324</v>
      </c>
      <c r="C139" t="s">
        <v>21</v>
      </c>
      <c r="D139">
        <v>45</v>
      </c>
      <c r="E139" t="s">
        <v>55</v>
      </c>
      <c r="F139" t="s">
        <v>60</v>
      </c>
      <c r="G139" t="s">
        <v>44</v>
      </c>
      <c r="H139" t="s">
        <v>70</v>
      </c>
      <c r="I139">
        <v>19</v>
      </c>
      <c r="J139">
        <v>67283</v>
      </c>
      <c r="K139" t="s">
        <v>45</v>
      </c>
      <c r="L139">
        <v>8</v>
      </c>
      <c r="M139">
        <v>23</v>
      </c>
      <c r="N139">
        <v>4</v>
      </c>
      <c r="O139" t="s">
        <v>27</v>
      </c>
      <c r="P139" t="s">
        <v>28</v>
      </c>
      <c r="Q139">
        <v>4</v>
      </c>
      <c r="R139" t="s">
        <v>27</v>
      </c>
      <c r="S139" t="s">
        <v>27</v>
      </c>
    </row>
    <row r="140" spans="1:19" x14ac:dyDescent="0.35">
      <c r="A140" t="s">
        <v>325</v>
      </c>
      <c r="B140" t="s">
        <v>326</v>
      </c>
      <c r="C140" t="s">
        <v>31</v>
      </c>
      <c r="D140">
        <v>41</v>
      </c>
      <c r="E140" t="s">
        <v>55</v>
      </c>
      <c r="F140" t="s">
        <v>64</v>
      </c>
      <c r="G140" t="s">
        <v>44</v>
      </c>
      <c r="H140" t="s">
        <v>131</v>
      </c>
      <c r="I140">
        <v>15</v>
      </c>
      <c r="J140">
        <v>70749</v>
      </c>
      <c r="K140" t="s">
        <v>45</v>
      </c>
      <c r="L140">
        <v>2</v>
      </c>
      <c r="M140">
        <v>37</v>
      </c>
      <c r="N140">
        <v>6</v>
      </c>
      <c r="O140" t="s">
        <v>27</v>
      </c>
      <c r="P140" t="s">
        <v>27</v>
      </c>
      <c r="Q140">
        <v>1</v>
      </c>
      <c r="R140" t="s">
        <v>28</v>
      </c>
      <c r="S140" t="s">
        <v>27</v>
      </c>
    </row>
    <row r="141" spans="1:19" x14ac:dyDescent="0.35">
      <c r="A141" t="s">
        <v>327</v>
      </c>
      <c r="B141" t="s">
        <v>328</v>
      </c>
      <c r="C141" t="s">
        <v>21</v>
      </c>
      <c r="D141">
        <v>27</v>
      </c>
      <c r="E141" t="s">
        <v>38</v>
      </c>
      <c r="F141" t="s">
        <v>48</v>
      </c>
      <c r="G141" t="s">
        <v>24</v>
      </c>
      <c r="H141" t="s">
        <v>52</v>
      </c>
      <c r="I141">
        <v>5</v>
      </c>
      <c r="J141">
        <v>45578</v>
      </c>
      <c r="K141" t="s">
        <v>45</v>
      </c>
      <c r="L141">
        <v>4</v>
      </c>
      <c r="M141">
        <v>9</v>
      </c>
      <c r="N141">
        <v>7</v>
      </c>
      <c r="O141" t="s">
        <v>28</v>
      </c>
      <c r="P141" t="s">
        <v>28</v>
      </c>
      <c r="Q141">
        <v>1</v>
      </c>
      <c r="R141" t="s">
        <v>27</v>
      </c>
      <c r="S141" t="s">
        <v>27</v>
      </c>
    </row>
    <row r="142" spans="1:19" x14ac:dyDescent="0.35">
      <c r="A142" t="s">
        <v>329</v>
      </c>
      <c r="B142" t="s">
        <v>330</v>
      </c>
      <c r="C142" t="s">
        <v>31</v>
      </c>
      <c r="D142">
        <v>39</v>
      </c>
      <c r="E142" t="s">
        <v>55</v>
      </c>
      <c r="F142" t="s">
        <v>39</v>
      </c>
      <c r="G142" t="s">
        <v>24</v>
      </c>
      <c r="H142" t="s">
        <v>49</v>
      </c>
      <c r="I142">
        <v>8</v>
      </c>
      <c r="J142">
        <v>53072</v>
      </c>
      <c r="K142" t="s">
        <v>26</v>
      </c>
      <c r="L142">
        <v>3</v>
      </c>
      <c r="M142">
        <v>43</v>
      </c>
      <c r="N142">
        <v>5</v>
      </c>
      <c r="O142" t="s">
        <v>27</v>
      </c>
      <c r="P142" t="s">
        <v>27</v>
      </c>
      <c r="Q142">
        <v>2</v>
      </c>
      <c r="R142" t="s">
        <v>28</v>
      </c>
      <c r="S142" t="s">
        <v>27</v>
      </c>
    </row>
    <row r="143" spans="1:19" x14ac:dyDescent="0.35">
      <c r="A143" t="s">
        <v>331</v>
      </c>
      <c r="B143" t="s">
        <v>332</v>
      </c>
      <c r="C143" t="s">
        <v>21</v>
      </c>
      <c r="D143">
        <v>27</v>
      </c>
      <c r="E143" t="s">
        <v>55</v>
      </c>
      <c r="F143" t="s">
        <v>48</v>
      </c>
      <c r="G143" t="s">
        <v>24</v>
      </c>
      <c r="H143" t="s">
        <v>131</v>
      </c>
      <c r="I143">
        <v>3</v>
      </c>
      <c r="J143">
        <v>46276</v>
      </c>
      <c r="K143" t="s">
        <v>35</v>
      </c>
      <c r="L143">
        <v>6</v>
      </c>
      <c r="M143">
        <v>24</v>
      </c>
      <c r="N143">
        <v>3</v>
      </c>
      <c r="O143" t="s">
        <v>27</v>
      </c>
      <c r="P143" t="s">
        <v>28</v>
      </c>
      <c r="Q143">
        <v>4</v>
      </c>
      <c r="R143" t="s">
        <v>28</v>
      </c>
      <c r="S143" t="s">
        <v>27</v>
      </c>
    </row>
    <row r="144" spans="1:19" x14ac:dyDescent="0.35">
      <c r="A144" t="s">
        <v>333</v>
      </c>
      <c r="B144" t="s">
        <v>334</v>
      </c>
      <c r="C144" t="s">
        <v>31</v>
      </c>
      <c r="D144">
        <v>52</v>
      </c>
      <c r="E144" t="s">
        <v>55</v>
      </c>
      <c r="F144" t="s">
        <v>43</v>
      </c>
      <c r="G144" t="s">
        <v>24</v>
      </c>
      <c r="H144" t="s">
        <v>52</v>
      </c>
      <c r="I144">
        <v>11</v>
      </c>
      <c r="J144">
        <v>79670</v>
      </c>
      <c r="K144" t="s">
        <v>45</v>
      </c>
      <c r="L144">
        <v>2</v>
      </c>
      <c r="M144">
        <v>35</v>
      </c>
      <c r="N144">
        <v>1</v>
      </c>
      <c r="O144" t="s">
        <v>28</v>
      </c>
      <c r="P144" t="s">
        <v>27</v>
      </c>
      <c r="Q144">
        <v>3</v>
      </c>
      <c r="R144" t="s">
        <v>27</v>
      </c>
      <c r="S144" t="s">
        <v>28</v>
      </c>
    </row>
    <row r="145" spans="1:19" x14ac:dyDescent="0.35">
      <c r="A145" t="s">
        <v>335</v>
      </c>
      <c r="B145" t="s">
        <v>336</v>
      </c>
      <c r="C145" t="s">
        <v>31</v>
      </c>
      <c r="D145">
        <v>47</v>
      </c>
      <c r="E145" t="s">
        <v>38</v>
      </c>
      <c r="F145" t="s">
        <v>48</v>
      </c>
      <c r="G145" t="s">
        <v>24</v>
      </c>
      <c r="H145" t="s">
        <v>25</v>
      </c>
      <c r="I145">
        <v>18</v>
      </c>
      <c r="J145">
        <v>58780</v>
      </c>
      <c r="K145" t="s">
        <v>35</v>
      </c>
      <c r="L145">
        <v>7</v>
      </c>
      <c r="M145">
        <v>17</v>
      </c>
      <c r="N145">
        <v>4</v>
      </c>
      <c r="O145" t="s">
        <v>27</v>
      </c>
      <c r="P145" t="s">
        <v>27</v>
      </c>
      <c r="Q145">
        <v>3</v>
      </c>
      <c r="R145" t="s">
        <v>27</v>
      </c>
      <c r="S145" t="s">
        <v>27</v>
      </c>
    </row>
    <row r="146" spans="1:19" x14ac:dyDescent="0.35">
      <c r="A146" t="s">
        <v>337</v>
      </c>
      <c r="B146" t="s">
        <v>338</v>
      </c>
      <c r="C146" t="s">
        <v>21</v>
      </c>
      <c r="D146">
        <v>25</v>
      </c>
      <c r="E146" t="s">
        <v>32</v>
      </c>
      <c r="F146" t="s">
        <v>64</v>
      </c>
      <c r="G146" t="s">
        <v>24</v>
      </c>
      <c r="H146" t="s">
        <v>61</v>
      </c>
      <c r="I146">
        <v>2</v>
      </c>
      <c r="J146">
        <v>44471</v>
      </c>
      <c r="K146" t="s">
        <v>26</v>
      </c>
      <c r="L146">
        <v>8</v>
      </c>
      <c r="M146">
        <v>24</v>
      </c>
      <c r="N146">
        <v>7</v>
      </c>
      <c r="O146" t="s">
        <v>27</v>
      </c>
      <c r="P146" t="s">
        <v>28</v>
      </c>
      <c r="Q146">
        <v>5</v>
      </c>
      <c r="R146" t="s">
        <v>27</v>
      </c>
      <c r="S146" t="s">
        <v>27</v>
      </c>
    </row>
    <row r="147" spans="1:19" x14ac:dyDescent="0.35">
      <c r="A147" t="s">
        <v>339</v>
      </c>
      <c r="B147" t="s">
        <v>340</v>
      </c>
      <c r="C147" t="s">
        <v>31</v>
      </c>
      <c r="D147">
        <v>31</v>
      </c>
      <c r="E147" t="s">
        <v>55</v>
      </c>
      <c r="F147" t="s">
        <v>43</v>
      </c>
      <c r="G147" t="s">
        <v>24</v>
      </c>
      <c r="H147" t="s">
        <v>131</v>
      </c>
      <c r="I147">
        <v>4</v>
      </c>
      <c r="J147">
        <v>71643</v>
      </c>
      <c r="K147" t="s">
        <v>35</v>
      </c>
      <c r="L147">
        <v>3</v>
      </c>
      <c r="M147">
        <v>45</v>
      </c>
      <c r="N147">
        <v>4</v>
      </c>
      <c r="O147" t="s">
        <v>28</v>
      </c>
      <c r="P147" t="s">
        <v>27</v>
      </c>
      <c r="Q147">
        <v>5</v>
      </c>
      <c r="R147" t="s">
        <v>28</v>
      </c>
      <c r="S147" t="s">
        <v>27</v>
      </c>
    </row>
    <row r="148" spans="1:19" x14ac:dyDescent="0.35">
      <c r="A148" t="s">
        <v>341</v>
      </c>
      <c r="B148" t="s">
        <v>342</v>
      </c>
      <c r="C148" t="s">
        <v>31</v>
      </c>
      <c r="D148">
        <v>23</v>
      </c>
      <c r="E148" t="s">
        <v>55</v>
      </c>
      <c r="F148" t="s">
        <v>48</v>
      </c>
      <c r="G148" t="s">
        <v>24</v>
      </c>
      <c r="H148" t="s">
        <v>52</v>
      </c>
      <c r="I148">
        <v>1</v>
      </c>
      <c r="J148">
        <v>51677</v>
      </c>
      <c r="K148" t="s">
        <v>45</v>
      </c>
      <c r="L148">
        <v>2</v>
      </c>
      <c r="M148">
        <v>39</v>
      </c>
      <c r="N148">
        <v>3</v>
      </c>
      <c r="O148" t="s">
        <v>27</v>
      </c>
      <c r="P148" t="s">
        <v>27</v>
      </c>
      <c r="Q148">
        <v>5</v>
      </c>
      <c r="R148" t="s">
        <v>27</v>
      </c>
      <c r="S148" t="s">
        <v>27</v>
      </c>
    </row>
    <row r="149" spans="1:19" x14ac:dyDescent="0.35">
      <c r="A149" t="s">
        <v>343</v>
      </c>
      <c r="B149" t="s">
        <v>344</v>
      </c>
      <c r="C149" t="s">
        <v>21</v>
      </c>
      <c r="D149">
        <v>54</v>
      </c>
      <c r="E149" t="s">
        <v>55</v>
      </c>
      <c r="F149" t="s">
        <v>23</v>
      </c>
      <c r="G149" t="s">
        <v>24</v>
      </c>
      <c r="H149" t="s">
        <v>131</v>
      </c>
      <c r="I149">
        <v>24</v>
      </c>
      <c r="J149">
        <v>82000</v>
      </c>
      <c r="K149" t="s">
        <v>45</v>
      </c>
      <c r="L149">
        <v>3</v>
      </c>
      <c r="M149">
        <v>29</v>
      </c>
      <c r="N149">
        <v>2</v>
      </c>
      <c r="O149" t="s">
        <v>27</v>
      </c>
      <c r="P149" t="s">
        <v>27</v>
      </c>
      <c r="Q149">
        <v>3</v>
      </c>
      <c r="R149" t="s">
        <v>27</v>
      </c>
      <c r="S149" t="s">
        <v>27</v>
      </c>
    </row>
    <row r="150" spans="1:19" x14ac:dyDescent="0.35">
      <c r="A150" t="s">
        <v>345</v>
      </c>
      <c r="B150" t="s">
        <v>346</v>
      </c>
      <c r="C150" t="s">
        <v>31</v>
      </c>
      <c r="D150">
        <v>30</v>
      </c>
      <c r="E150" t="s">
        <v>38</v>
      </c>
      <c r="F150" t="s">
        <v>39</v>
      </c>
      <c r="G150" t="s">
        <v>24</v>
      </c>
      <c r="H150" t="s">
        <v>25</v>
      </c>
      <c r="I150">
        <v>8</v>
      </c>
      <c r="J150">
        <v>61250</v>
      </c>
      <c r="K150" t="s">
        <v>26</v>
      </c>
      <c r="L150">
        <v>2</v>
      </c>
      <c r="M150">
        <v>29</v>
      </c>
      <c r="N150">
        <v>4</v>
      </c>
      <c r="O150" t="s">
        <v>28</v>
      </c>
      <c r="P150" t="s">
        <v>28</v>
      </c>
      <c r="Q150">
        <v>4</v>
      </c>
      <c r="R150" t="s">
        <v>27</v>
      </c>
      <c r="S150" t="s">
        <v>27</v>
      </c>
    </row>
    <row r="151" spans="1:19" x14ac:dyDescent="0.35">
      <c r="A151" t="s">
        <v>347</v>
      </c>
      <c r="B151" t="s">
        <v>348</v>
      </c>
      <c r="C151" t="s">
        <v>31</v>
      </c>
      <c r="D151">
        <v>26</v>
      </c>
      <c r="E151" t="s">
        <v>38</v>
      </c>
      <c r="F151" t="s">
        <v>39</v>
      </c>
      <c r="G151" t="s">
        <v>44</v>
      </c>
      <c r="H151" t="s">
        <v>49</v>
      </c>
      <c r="I151">
        <v>3</v>
      </c>
      <c r="J151">
        <v>61913</v>
      </c>
      <c r="K151" t="s">
        <v>45</v>
      </c>
      <c r="L151">
        <v>1</v>
      </c>
      <c r="M151">
        <v>0</v>
      </c>
      <c r="N151">
        <v>4</v>
      </c>
      <c r="O151" t="s">
        <v>27</v>
      </c>
      <c r="P151" t="s">
        <v>27</v>
      </c>
      <c r="Q151">
        <v>5</v>
      </c>
      <c r="R151" t="s">
        <v>27</v>
      </c>
      <c r="S151" t="s">
        <v>27</v>
      </c>
    </row>
    <row r="152" spans="1:19" x14ac:dyDescent="0.35">
      <c r="A152" t="s">
        <v>349</v>
      </c>
      <c r="B152" t="s">
        <v>350</v>
      </c>
      <c r="C152" t="s">
        <v>31</v>
      </c>
      <c r="D152">
        <v>21</v>
      </c>
      <c r="E152" t="s">
        <v>32</v>
      </c>
      <c r="F152" t="s">
        <v>351</v>
      </c>
      <c r="G152" t="s">
        <v>24</v>
      </c>
      <c r="H152" t="s">
        <v>131</v>
      </c>
      <c r="I152">
        <v>0</v>
      </c>
      <c r="J152">
        <v>44371</v>
      </c>
      <c r="K152" t="s">
        <v>26</v>
      </c>
      <c r="L152">
        <v>8</v>
      </c>
      <c r="M152">
        <v>51</v>
      </c>
      <c r="N152">
        <v>6</v>
      </c>
      <c r="O152" t="s">
        <v>28</v>
      </c>
      <c r="P152" t="s">
        <v>28</v>
      </c>
      <c r="Q152">
        <v>1</v>
      </c>
      <c r="R152" t="s">
        <v>27</v>
      </c>
      <c r="S152" t="s">
        <v>27</v>
      </c>
    </row>
    <row r="153" spans="1:19" x14ac:dyDescent="0.35">
      <c r="A153" t="s">
        <v>352</v>
      </c>
      <c r="B153" t="s">
        <v>353</v>
      </c>
      <c r="C153" t="s">
        <v>21</v>
      </c>
      <c r="D153">
        <v>26</v>
      </c>
      <c r="E153" t="s">
        <v>38</v>
      </c>
      <c r="F153" t="s">
        <v>60</v>
      </c>
      <c r="G153" t="s">
        <v>24</v>
      </c>
      <c r="H153" t="s">
        <v>70</v>
      </c>
      <c r="I153">
        <v>2</v>
      </c>
      <c r="J153">
        <v>54329</v>
      </c>
      <c r="K153" t="s">
        <v>26</v>
      </c>
      <c r="L153">
        <v>6</v>
      </c>
      <c r="M153">
        <v>34</v>
      </c>
      <c r="N153">
        <v>6</v>
      </c>
      <c r="O153" t="s">
        <v>28</v>
      </c>
      <c r="P153" t="s">
        <v>27</v>
      </c>
      <c r="Q153">
        <v>3</v>
      </c>
      <c r="R153" t="s">
        <v>27</v>
      </c>
      <c r="S153" t="s">
        <v>27</v>
      </c>
    </row>
    <row r="154" spans="1:19" x14ac:dyDescent="0.35">
      <c r="A154" t="s">
        <v>354</v>
      </c>
      <c r="B154" t="s">
        <v>355</v>
      </c>
      <c r="C154" t="s">
        <v>31</v>
      </c>
      <c r="D154">
        <v>55</v>
      </c>
      <c r="E154" t="s">
        <v>38</v>
      </c>
      <c r="F154" t="s">
        <v>23</v>
      </c>
      <c r="G154" t="s">
        <v>69</v>
      </c>
      <c r="H154" t="s">
        <v>61</v>
      </c>
      <c r="I154">
        <v>26</v>
      </c>
      <c r="J154">
        <v>68712</v>
      </c>
      <c r="K154" t="s">
        <v>45</v>
      </c>
      <c r="L154">
        <v>6</v>
      </c>
      <c r="M154">
        <v>19</v>
      </c>
      <c r="N154">
        <v>3</v>
      </c>
      <c r="O154" t="s">
        <v>27</v>
      </c>
      <c r="P154" t="s">
        <v>27</v>
      </c>
      <c r="Q154">
        <v>3</v>
      </c>
      <c r="R154" t="s">
        <v>27</v>
      </c>
      <c r="S154" t="s">
        <v>27</v>
      </c>
    </row>
    <row r="155" spans="1:19" x14ac:dyDescent="0.35">
      <c r="A155" t="s">
        <v>356</v>
      </c>
      <c r="B155" t="s">
        <v>357</v>
      </c>
      <c r="C155" t="s">
        <v>31</v>
      </c>
      <c r="D155">
        <v>32</v>
      </c>
      <c r="E155" t="s">
        <v>55</v>
      </c>
      <c r="F155" t="s">
        <v>64</v>
      </c>
      <c r="G155" t="s">
        <v>69</v>
      </c>
      <c r="H155" t="s">
        <v>49</v>
      </c>
      <c r="I155">
        <v>4</v>
      </c>
      <c r="J155">
        <v>47040</v>
      </c>
      <c r="K155" t="s">
        <v>35</v>
      </c>
      <c r="L155">
        <v>8</v>
      </c>
      <c r="M155">
        <v>30</v>
      </c>
      <c r="N155">
        <v>6</v>
      </c>
      <c r="O155" t="s">
        <v>27</v>
      </c>
      <c r="P155" t="s">
        <v>28</v>
      </c>
      <c r="Q155">
        <v>2</v>
      </c>
      <c r="R155" t="s">
        <v>28</v>
      </c>
      <c r="S155" t="s">
        <v>27</v>
      </c>
    </row>
    <row r="156" spans="1:19" x14ac:dyDescent="0.35">
      <c r="A156" t="s">
        <v>358</v>
      </c>
      <c r="B156" t="s">
        <v>359</v>
      </c>
      <c r="C156" t="s">
        <v>21</v>
      </c>
      <c r="D156">
        <v>24</v>
      </c>
      <c r="E156" t="s">
        <v>38</v>
      </c>
      <c r="F156" t="s">
        <v>60</v>
      </c>
      <c r="G156" t="s">
        <v>69</v>
      </c>
      <c r="H156" t="s">
        <v>49</v>
      </c>
      <c r="I156">
        <v>1</v>
      </c>
      <c r="J156">
        <v>50831</v>
      </c>
      <c r="K156" t="s">
        <v>45</v>
      </c>
      <c r="L156">
        <v>4</v>
      </c>
      <c r="M156">
        <v>56</v>
      </c>
      <c r="N156">
        <v>4</v>
      </c>
      <c r="O156" t="s">
        <v>27</v>
      </c>
      <c r="P156" t="s">
        <v>28</v>
      </c>
      <c r="Q156">
        <v>2</v>
      </c>
      <c r="R156" t="s">
        <v>27</v>
      </c>
      <c r="S156" t="s">
        <v>27</v>
      </c>
    </row>
    <row r="157" spans="1:19" x14ac:dyDescent="0.35">
      <c r="A157" t="s">
        <v>360</v>
      </c>
      <c r="B157" t="s">
        <v>361</v>
      </c>
      <c r="C157" t="s">
        <v>21</v>
      </c>
      <c r="D157">
        <v>41</v>
      </c>
      <c r="E157" t="s">
        <v>55</v>
      </c>
      <c r="F157" t="s">
        <v>23</v>
      </c>
      <c r="G157" t="s">
        <v>24</v>
      </c>
      <c r="H157" t="s">
        <v>52</v>
      </c>
      <c r="I157">
        <v>10</v>
      </c>
      <c r="J157">
        <v>82000</v>
      </c>
      <c r="K157" t="s">
        <v>45</v>
      </c>
      <c r="L157">
        <v>1</v>
      </c>
      <c r="M157">
        <v>14</v>
      </c>
      <c r="N157">
        <v>1</v>
      </c>
      <c r="O157" t="s">
        <v>28</v>
      </c>
      <c r="P157" t="s">
        <v>28</v>
      </c>
      <c r="Q157">
        <v>5</v>
      </c>
      <c r="R157" t="s">
        <v>27</v>
      </c>
      <c r="S157" t="s">
        <v>27</v>
      </c>
    </row>
    <row r="158" spans="1:19" x14ac:dyDescent="0.35">
      <c r="A158" t="s">
        <v>362</v>
      </c>
      <c r="B158" t="s">
        <v>363</v>
      </c>
      <c r="C158" t="s">
        <v>21</v>
      </c>
      <c r="D158">
        <v>43</v>
      </c>
      <c r="E158" t="s">
        <v>22</v>
      </c>
      <c r="F158" t="s">
        <v>39</v>
      </c>
      <c r="G158" t="s">
        <v>44</v>
      </c>
      <c r="H158" t="s">
        <v>61</v>
      </c>
      <c r="I158">
        <v>15</v>
      </c>
      <c r="J158">
        <v>37918</v>
      </c>
      <c r="K158" t="s">
        <v>40</v>
      </c>
      <c r="L158">
        <v>10</v>
      </c>
      <c r="M158">
        <v>39</v>
      </c>
      <c r="N158">
        <v>2</v>
      </c>
      <c r="O158" t="s">
        <v>28</v>
      </c>
      <c r="P158" t="s">
        <v>27</v>
      </c>
      <c r="Q158">
        <v>5</v>
      </c>
      <c r="R158" t="s">
        <v>28</v>
      </c>
      <c r="S158" t="s">
        <v>27</v>
      </c>
    </row>
    <row r="159" spans="1:19" x14ac:dyDescent="0.35">
      <c r="A159" t="s">
        <v>364</v>
      </c>
      <c r="B159" t="s">
        <v>365</v>
      </c>
      <c r="C159" t="s">
        <v>21</v>
      </c>
      <c r="D159">
        <v>49</v>
      </c>
      <c r="E159" t="s">
        <v>22</v>
      </c>
      <c r="F159" t="s">
        <v>48</v>
      </c>
      <c r="G159" t="s">
        <v>24</v>
      </c>
      <c r="H159" t="s">
        <v>25</v>
      </c>
      <c r="I159">
        <v>21</v>
      </c>
      <c r="J159">
        <v>48171</v>
      </c>
      <c r="K159" t="s">
        <v>45</v>
      </c>
      <c r="L159">
        <v>5</v>
      </c>
      <c r="M159">
        <v>39</v>
      </c>
      <c r="N159">
        <v>5</v>
      </c>
      <c r="O159" t="s">
        <v>28</v>
      </c>
      <c r="P159" t="s">
        <v>28</v>
      </c>
      <c r="Q159">
        <v>3</v>
      </c>
      <c r="R159" t="s">
        <v>27</v>
      </c>
      <c r="S159" t="s">
        <v>27</v>
      </c>
    </row>
    <row r="160" spans="1:19" x14ac:dyDescent="0.35">
      <c r="A160" t="s">
        <v>366</v>
      </c>
      <c r="B160" t="s">
        <v>367</v>
      </c>
      <c r="C160" t="s">
        <v>31</v>
      </c>
      <c r="D160">
        <v>53</v>
      </c>
      <c r="E160" t="s">
        <v>38</v>
      </c>
      <c r="F160" t="s">
        <v>43</v>
      </c>
      <c r="G160" t="s">
        <v>24</v>
      </c>
      <c r="H160" t="s">
        <v>49</v>
      </c>
      <c r="I160">
        <v>13</v>
      </c>
      <c r="J160">
        <v>77703</v>
      </c>
      <c r="K160" t="s">
        <v>45</v>
      </c>
      <c r="L160">
        <v>5</v>
      </c>
      <c r="M160">
        <v>20</v>
      </c>
      <c r="N160">
        <v>3</v>
      </c>
      <c r="O160" t="s">
        <v>27</v>
      </c>
      <c r="P160" t="s">
        <v>28</v>
      </c>
      <c r="Q160">
        <v>5</v>
      </c>
      <c r="R160" t="s">
        <v>27</v>
      </c>
      <c r="S160" t="s">
        <v>28</v>
      </c>
    </row>
    <row r="161" spans="1:19" x14ac:dyDescent="0.35">
      <c r="A161" t="s">
        <v>368</v>
      </c>
      <c r="B161" t="s">
        <v>369</v>
      </c>
      <c r="C161" t="s">
        <v>21</v>
      </c>
      <c r="D161">
        <v>45</v>
      </c>
      <c r="E161" t="s">
        <v>55</v>
      </c>
      <c r="F161" t="s">
        <v>64</v>
      </c>
      <c r="G161" t="s">
        <v>44</v>
      </c>
      <c r="H161" t="s">
        <v>70</v>
      </c>
      <c r="I161">
        <v>9</v>
      </c>
      <c r="J161">
        <v>62242</v>
      </c>
      <c r="K161" t="s">
        <v>45</v>
      </c>
      <c r="L161">
        <v>6</v>
      </c>
      <c r="M161">
        <v>28</v>
      </c>
      <c r="N161">
        <v>6</v>
      </c>
      <c r="O161" t="s">
        <v>27</v>
      </c>
      <c r="P161" t="s">
        <v>28</v>
      </c>
      <c r="Q161">
        <v>5</v>
      </c>
      <c r="R161" t="s">
        <v>28</v>
      </c>
      <c r="S161" t="s">
        <v>27</v>
      </c>
    </row>
    <row r="162" spans="1:19" x14ac:dyDescent="0.35">
      <c r="A162" t="s">
        <v>370</v>
      </c>
      <c r="B162" t="s">
        <v>371</v>
      </c>
      <c r="C162" t="s">
        <v>31</v>
      </c>
      <c r="D162">
        <v>36</v>
      </c>
      <c r="E162" t="s">
        <v>55</v>
      </c>
      <c r="F162" t="s">
        <v>23</v>
      </c>
      <c r="G162" t="s">
        <v>24</v>
      </c>
      <c r="H162" t="s">
        <v>34</v>
      </c>
      <c r="I162">
        <v>7</v>
      </c>
      <c r="J162">
        <v>62079</v>
      </c>
      <c r="K162" t="s">
        <v>35</v>
      </c>
      <c r="L162">
        <v>4</v>
      </c>
      <c r="M162">
        <v>58</v>
      </c>
      <c r="N162">
        <v>4</v>
      </c>
      <c r="O162" t="s">
        <v>27</v>
      </c>
      <c r="P162" t="s">
        <v>27</v>
      </c>
      <c r="Q162">
        <v>5</v>
      </c>
      <c r="R162" t="s">
        <v>28</v>
      </c>
      <c r="S162" t="s">
        <v>27</v>
      </c>
    </row>
    <row r="163" spans="1:19" x14ac:dyDescent="0.35">
      <c r="A163" t="s">
        <v>372</v>
      </c>
      <c r="B163" t="s">
        <v>373</v>
      </c>
      <c r="C163" t="s">
        <v>31</v>
      </c>
      <c r="D163">
        <v>24</v>
      </c>
      <c r="E163" t="s">
        <v>55</v>
      </c>
      <c r="F163" t="s">
        <v>64</v>
      </c>
      <c r="G163" t="s">
        <v>24</v>
      </c>
      <c r="H163" t="s">
        <v>61</v>
      </c>
      <c r="I163">
        <v>1</v>
      </c>
      <c r="J163">
        <v>65518</v>
      </c>
      <c r="K163" t="s">
        <v>45</v>
      </c>
      <c r="L163">
        <v>3</v>
      </c>
      <c r="M163">
        <v>30</v>
      </c>
      <c r="N163">
        <v>3</v>
      </c>
      <c r="O163" t="s">
        <v>28</v>
      </c>
      <c r="P163" t="s">
        <v>28</v>
      </c>
      <c r="Q163">
        <v>4</v>
      </c>
      <c r="R163" t="s">
        <v>27</v>
      </c>
      <c r="S163" t="s">
        <v>28</v>
      </c>
    </row>
    <row r="164" spans="1:19" x14ac:dyDescent="0.35">
      <c r="A164" t="s">
        <v>374</v>
      </c>
      <c r="B164" t="s">
        <v>375</v>
      </c>
      <c r="C164" t="s">
        <v>21</v>
      </c>
      <c r="D164">
        <v>51</v>
      </c>
      <c r="E164" t="s">
        <v>55</v>
      </c>
      <c r="F164" t="s">
        <v>48</v>
      </c>
      <c r="G164" t="s">
        <v>69</v>
      </c>
      <c r="H164" t="s">
        <v>49</v>
      </c>
      <c r="I164">
        <v>11</v>
      </c>
      <c r="J164">
        <v>54818</v>
      </c>
      <c r="K164" t="s">
        <v>40</v>
      </c>
      <c r="L164">
        <v>1</v>
      </c>
      <c r="M164">
        <v>35</v>
      </c>
      <c r="N164">
        <v>5</v>
      </c>
      <c r="O164" t="s">
        <v>28</v>
      </c>
      <c r="P164" t="s">
        <v>28</v>
      </c>
      <c r="Q164">
        <v>2</v>
      </c>
      <c r="R164" t="s">
        <v>27</v>
      </c>
      <c r="S164" t="s">
        <v>27</v>
      </c>
    </row>
    <row r="165" spans="1:19" x14ac:dyDescent="0.35">
      <c r="A165" t="s">
        <v>376</v>
      </c>
      <c r="B165" t="s">
        <v>377</v>
      </c>
      <c r="C165" t="s">
        <v>21</v>
      </c>
      <c r="D165">
        <v>39</v>
      </c>
      <c r="E165" t="s">
        <v>32</v>
      </c>
      <c r="F165" t="s">
        <v>39</v>
      </c>
      <c r="G165" t="s">
        <v>24</v>
      </c>
      <c r="H165" t="s">
        <v>70</v>
      </c>
      <c r="I165">
        <v>9</v>
      </c>
      <c r="J165">
        <v>53175</v>
      </c>
      <c r="K165" t="s">
        <v>26</v>
      </c>
      <c r="L165">
        <v>10</v>
      </c>
      <c r="M165">
        <v>35</v>
      </c>
      <c r="N165">
        <v>2</v>
      </c>
      <c r="O165" t="s">
        <v>27</v>
      </c>
      <c r="P165" t="s">
        <v>27</v>
      </c>
      <c r="Q165">
        <v>5</v>
      </c>
      <c r="R165" t="s">
        <v>27</v>
      </c>
      <c r="S165" t="s">
        <v>27</v>
      </c>
    </row>
    <row r="166" spans="1:19" x14ac:dyDescent="0.35">
      <c r="A166" t="s">
        <v>378</v>
      </c>
      <c r="B166" t="s">
        <v>379</v>
      </c>
      <c r="C166" t="s">
        <v>31</v>
      </c>
      <c r="D166">
        <v>30</v>
      </c>
      <c r="E166" t="s">
        <v>55</v>
      </c>
      <c r="F166" t="s">
        <v>60</v>
      </c>
      <c r="G166" t="s">
        <v>24</v>
      </c>
      <c r="H166" t="s">
        <v>131</v>
      </c>
      <c r="I166">
        <v>4</v>
      </c>
      <c r="J166">
        <v>58446</v>
      </c>
      <c r="K166" t="s">
        <v>26</v>
      </c>
      <c r="L166">
        <v>1</v>
      </c>
      <c r="M166">
        <v>26</v>
      </c>
      <c r="N166">
        <v>4</v>
      </c>
      <c r="O166" t="s">
        <v>27</v>
      </c>
      <c r="P166" t="s">
        <v>28</v>
      </c>
      <c r="Q166">
        <v>3</v>
      </c>
      <c r="R166" t="s">
        <v>27</v>
      </c>
      <c r="S166" t="s">
        <v>27</v>
      </c>
    </row>
    <row r="167" spans="1:19" x14ac:dyDescent="0.35">
      <c r="A167" t="s">
        <v>380</v>
      </c>
      <c r="B167" t="s">
        <v>381</v>
      </c>
      <c r="C167" t="s">
        <v>21</v>
      </c>
      <c r="D167">
        <v>41</v>
      </c>
      <c r="E167" t="s">
        <v>32</v>
      </c>
      <c r="F167" t="s">
        <v>60</v>
      </c>
      <c r="G167" t="s">
        <v>44</v>
      </c>
      <c r="H167" t="s">
        <v>70</v>
      </c>
      <c r="I167">
        <v>10</v>
      </c>
      <c r="J167">
        <v>55469</v>
      </c>
      <c r="K167" t="s">
        <v>45</v>
      </c>
      <c r="L167">
        <v>3</v>
      </c>
      <c r="M167">
        <v>45</v>
      </c>
      <c r="N167">
        <v>2</v>
      </c>
      <c r="O167" t="s">
        <v>27</v>
      </c>
      <c r="P167" t="s">
        <v>28</v>
      </c>
      <c r="Q167">
        <v>3</v>
      </c>
      <c r="R167" t="s">
        <v>27</v>
      </c>
      <c r="S167" t="s">
        <v>27</v>
      </c>
    </row>
    <row r="168" spans="1:19" x14ac:dyDescent="0.35">
      <c r="A168" t="s">
        <v>382</v>
      </c>
      <c r="B168" t="s">
        <v>383</v>
      </c>
      <c r="C168" t="s">
        <v>21</v>
      </c>
      <c r="D168">
        <v>21</v>
      </c>
      <c r="E168" t="s">
        <v>38</v>
      </c>
      <c r="F168" t="s">
        <v>64</v>
      </c>
      <c r="G168" t="s">
        <v>24</v>
      </c>
      <c r="H168" t="s">
        <v>131</v>
      </c>
      <c r="I168">
        <v>0</v>
      </c>
      <c r="J168">
        <v>61185</v>
      </c>
      <c r="K168" t="s">
        <v>35</v>
      </c>
      <c r="L168">
        <v>3</v>
      </c>
      <c r="M168">
        <v>33</v>
      </c>
      <c r="N168">
        <v>3</v>
      </c>
      <c r="O168" t="s">
        <v>28</v>
      </c>
      <c r="P168" t="s">
        <v>27</v>
      </c>
      <c r="Q168">
        <v>3</v>
      </c>
      <c r="R168" t="s">
        <v>27</v>
      </c>
      <c r="S168" t="s">
        <v>27</v>
      </c>
    </row>
    <row r="169" spans="1:19" x14ac:dyDescent="0.35">
      <c r="A169" t="s">
        <v>384</v>
      </c>
      <c r="B169" t="s">
        <v>385</v>
      </c>
      <c r="C169" t="s">
        <v>31</v>
      </c>
      <c r="D169">
        <v>44</v>
      </c>
      <c r="E169" t="s">
        <v>38</v>
      </c>
      <c r="F169" t="s">
        <v>23</v>
      </c>
      <c r="G169" t="s">
        <v>24</v>
      </c>
      <c r="H169" t="s">
        <v>52</v>
      </c>
      <c r="I169">
        <v>15</v>
      </c>
      <c r="J169">
        <v>82000</v>
      </c>
      <c r="K169" t="s">
        <v>26</v>
      </c>
      <c r="L169">
        <v>8</v>
      </c>
      <c r="M169">
        <v>32</v>
      </c>
      <c r="N169">
        <v>6</v>
      </c>
      <c r="O169" t="s">
        <v>28</v>
      </c>
      <c r="P169" t="s">
        <v>28</v>
      </c>
      <c r="Q169">
        <v>2</v>
      </c>
      <c r="R169" t="s">
        <v>28</v>
      </c>
      <c r="S169" t="s">
        <v>27</v>
      </c>
    </row>
    <row r="170" spans="1:19" x14ac:dyDescent="0.35">
      <c r="A170" t="s">
        <v>386</v>
      </c>
      <c r="B170" t="s">
        <v>387</v>
      </c>
      <c r="C170" t="s">
        <v>31</v>
      </c>
      <c r="D170">
        <v>49</v>
      </c>
      <c r="E170" t="s">
        <v>38</v>
      </c>
      <c r="F170" t="s">
        <v>43</v>
      </c>
      <c r="G170" t="s">
        <v>24</v>
      </c>
      <c r="H170" t="s">
        <v>131</v>
      </c>
      <c r="I170">
        <v>23</v>
      </c>
      <c r="J170">
        <v>82000</v>
      </c>
      <c r="K170" t="s">
        <v>45</v>
      </c>
      <c r="L170">
        <v>1</v>
      </c>
      <c r="M170">
        <v>21</v>
      </c>
      <c r="N170">
        <v>4</v>
      </c>
      <c r="O170" t="s">
        <v>27</v>
      </c>
      <c r="P170" t="s">
        <v>27</v>
      </c>
      <c r="Q170">
        <v>5</v>
      </c>
      <c r="R170" t="s">
        <v>27</v>
      </c>
      <c r="S170" t="s">
        <v>28</v>
      </c>
    </row>
    <row r="171" spans="1:19" x14ac:dyDescent="0.35">
      <c r="A171" t="s">
        <v>388</v>
      </c>
      <c r="B171" t="s">
        <v>389</v>
      </c>
      <c r="C171" t="s">
        <v>21</v>
      </c>
      <c r="D171">
        <v>52</v>
      </c>
      <c r="E171" t="s">
        <v>55</v>
      </c>
      <c r="F171" t="s">
        <v>33</v>
      </c>
      <c r="G171" t="s">
        <v>24</v>
      </c>
      <c r="H171" t="s">
        <v>52</v>
      </c>
      <c r="I171">
        <v>18</v>
      </c>
      <c r="J171">
        <v>67095</v>
      </c>
      <c r="K171" t="s">
        <v>45</v>
      </c>
      <c r="L171">
        <v>1</v>
      </c>
      <c r="M171">
        <v>34</v>
      </c>
      <c r="N171">
        <v>3</v>
      </c>
      <c r="O171" t="s">
        <v>27</v>
      </c>
      <c r="P171" t="s">
        <v>28</v>
      </c>
      <c r="Q171">
        <v>4</v>
      </c>
      <c r="R171" t="s">
        <v>28</v>
      </c>
      <c r="S171" t="s">
        <v>27</v>
      </c>
    </row>
    <row r="172" spans="1:19" x14ac:dyDescent="0.35">
      <c r="A172" t="s">
        <v>390</v>
      </c>
      <c r="B172" t="s">
        <v>391</v>
      </c>
      <c r="C172" t="s">
        <v>21</v>
      </c>
      <c r="D172">
        <v>42</v>
      </c>
      <c r="E172" t="s">
        <v>55</v>
      </c>
      <c r="F172" t="s">
        <v>23</v>
      </c>
      <c r="G172" t="s">
        <v>24</v>
      </c>
      <c r="H172" t="s">
        <v>34</v>
      </c>
      <c r="I172">
        <v>17</v>
      </c>
      <c r="J172">
        <v>79372</v>
      </c>
      <c r="K172" t="s">
        <v>26</v>
      </c>
      <c r="L172">
        <v>11</v>
      </c>
      <c r="M172">
        <v>26</v>
      </c>
      <c r="N172">
        <v>8</v>
      </c>
      <c r="O172" t="s">
        <v>28</v>
      </c>
      <c r="P172" t="s">
        <v>28</v>
      </c>
      <c r="Q172">
        <v>3</v>
      </c>
      <c r="R172" t="s">
        <v>27</v>
      </c>
      <c r="S172" t="s">
        <v>28</v>
      </c>
    </row>
    <row r="173" spans="1:19" x14ac:dyDescent="0.35">
      <c r="A173" t="s">
        <v>392</v>
      </c>
      <c r="B173" t="s">
        <v>393</v>
      </c>
      <c r="C173" t="s">
        <v>31</v>
      </c>
      <c r="D173">
        <v>30</v>
      </c>
      <c r="E173" t="s">
        <v>32</v>
      </c>
      <c r="F173" t="s">
        <v>64</v>
      </c>
      <c r="G173" t="s">
        <v>24</v>
      </c>
      <c r="H173" t="s">
        <v>25</v>
      </c>
      <c r="I173">
        <v>7</v>
      </c>
      <c r="J173">
        <v>52765</v>
      </c>
      <c r="K173" t="s">
        <v>35</v>
      </c>
      <c r="L173">
        <v>9</v>
      </c>
      <c r="M173">
        <v>33</v>
      </c>
      <c r="N173">
        <v>4</v>
      </c>
      <c r="O173" t="s">
        <v>28</v>
      </c>
      <c r="P173" t="s">
        <v>27</v>
      </c>
      <c r="Q173">
        <v>2</v>
      </c>
      <c r="R173" t="s">
        <v>28</v>
      </c>
      <c r="S173" t="s">
        <v>27</v>
      </c>
    </row>
    <row r="174" spans="1:19" x14ac:dyDescent="0.35">
      <c r="A174" t="s">
        <v>394</v>
      </c>
      <c r="B174" t="s">
        <v>395</v>
      </c>
      <c r="C174" t="s">
        <v>31</v>
      </c>
      <c r="D174">
        <v>40</v>
      </c>
      <c r="E174" t="s">
        <v>22</v>
      </c>
      <c r="F174" t="s">
        <v>60</v>
      </c>
      <c r="G174" t="s">
        <v>24</v>
      </c>
      <c r="H174" t="s">
        <v>25</v>
      </c>
      <c r="I174">
        <v>12</v>
      </c>
      <c r="J174">
        <v>65555</v>
      </c>
      <c r="K174" t="s">
        <v>45</v>
      </c>
      <c r="L174">
        <v>10</v>
      </c>
      <c r="M174">
        <v>31</v>
      </c>
      <c r="N174">
        <v>0</v>
      </c>
      <c r="O174" t="s">
        <v>27</v>
      </c>
      <c r="P174" t="s">
        <v>28</v>
      </c>
      <c r="Q174">
        <v>2</v>
      </c>
      <c r="R174" t="s">
        <v>27</v>
      </c>
      <c r="S174" t="s">
        <v>27</v>
      </c>
    </row>
    <row r="175" spans="1:19" x14ac:dyDescent="0.35">
      <c r="A175" t="s">
        <v>396</v>
      </c>
      <c r="B175" t="s">
        <v>397</v>
      </c>
      <c r="C175" t="s">
        <v>21</v>
      </c>
      <c r="D175">
        <v>36</v>
      </c>
      <c r="E175" t="s">
        <v>55</v>
      </c>
      <c r="F175" t="s">
        <v>48</v>
      </c>
      <c r="G175" t="s">
        <v>24</v>
      </c>
      <c r="H175" t="s">
        <v>61</v>
      </c>
      <c r="I175">
        <v>10</v>
      </c>
      <c r="J175">
        <v>48875</v>
      </c>
      <c r="K175" t="s">
        <v>45</v>
      </c>
      <c r="L175">
        <v>8</v>
      </c>
      <c r="M175">
        <v>28</v>
      </c>
      <c r="N175">
        <v>0</v>
      </c>
      <c r="O175" t="s">
        <v>28</v>
      </c>
      <c r="P175" t="s">
        <v>27</v>
      </c>
      <c r="Q175">
        <v>2</v>
      </c>
      <c r="R175" t="s">
        <v>27</v>
      </c>
      <c r="S175" t="s">
        <v>27</v>
      </c>
    </row>
    <row r="176" spans="1:19" x14ac:dyDescent="0.35">
      <c r="A176" t="s">
        <v>398</v>
      </c>
      <c r="B176" t="s">
        <v>399</v>
      </c>
      <c r="C176" t="s">
        <v>21</v>
      </c>
      <c r="D176">
        <v>41</v>
      </c>
      <c r="E176" t="s">
        <v>38</v>
      </c>
      <c r="F176" t="s">
        <v>48</v>
      </c>
      <c r="G176" t="s">
        <v>24</v>
      </c>
      <c r="H176" t="s">
        <v>25</v>
      </c>
      <c r="I176">
        <v>17</v>
      </c>
      <c r="J176">
        <v>51990</v>
      </c>
      <c r="K176" t="s">
        <v>45</v>
      </c>
      <c r="L176">
        <v>6</v>
      </c>
      <c r="M176">
        <v>28</v>
      </c>
      <c r="N176">
        <v>5</v>
      </c>
      <c r="O176" t="s">
        <v>27</v>
      </c>
      <c r="P176" t="s">
        <v>28</v>
      </c>
      <c r="Q176">
        <v>2</v>
      </c>
      <c r="R176" t="s">
        <v>27</v>
      </c>
      <c r="S176" t="s">
        <v>27</v>
      </c>
    </row>
    <row r="177" spans="1:19" x14ac:dyDescent="0.35">
      <c r="A177" t="s">
        <v>400</v>
      </c>
      <c r="B177" t="s">
        <v>401</v>
      </c>
      <c r="C177" t="s">
        <v>31</v>
      </c>
      <c r="D177">
        <v>40</v>
      </c>
      <c r="E177" t="s">
        <v>38</v>
      </c>
      <c r="F177" t="s">
        <v>64</v>
      </c>
      <c r="G177" t="s">
        <v>24</v>
      </c>
      <c r="H177" t="s">
        <v>25</v>
      </c>
      <c r="I177">
        <v>15</v>
      </c>
      <c r="J177">
        <v>59858</v>
      </c>
      <c r="K177" t="s">
        <v>45</v>
      </c>
      <c r="L177">
        <v>1</v>
      </c>
      <c r="M177">
        <v>30</v>
      </c>
      <c r="N177">
        <v>4</v>
      </c>
      <c r="O177" t="s">
        <v>28</v>
      </c>
      <c r="P177" t="s">
        <v>27</v>
      </c>
      <c r="Q177">
        <v>4</v>
      </c>
      <c r="R177" t="s">
        <v>28</v>
      </c>
      <c r="S177" t="s">
        <v>27</v>
      </c>
    </row>
    <row r="178" spans="1:19" x14ac:dyDescent="0.35">
      <c r="A178" t="s">
        <v>402</v>
      </c>
      <c r="B178" t="s">
        <v>403</v>
      </c>
      <c r="C178" t="s">
        <v>21</v>
      </c>
      <c r="D178">
        <v>38</v>
      </c>
      <c r="E178" t="s">
        <v>55</v>
      </c>
      <c r="F178" t="s">
        <v>43</v>
      </c>
      <c r="G178" t="s">
        <v>24</v>
      </c>
      <c r="H178" t="s">
        <v>61</v>
      </c>
      <c r="I178">
        <v>10</v>
      </c>
      <c r="J178">
        <v>61146</v>
      </c>
      <c r="K178" t="s">
        <v>26</v>
      </c>
      <c r="L178">
        <v>8</v>
      </c>
      <c r="M178">
        <v>41</v>
      </c>
      <c r="N178">
        <v>4</v>
      </c>
      <c r="O178" t="s">
        <v>28</v>
      </c>
      <c r="P178" t="s">
        <v>28</v>
      </c>
      <c r="Q178">
        <v>2</v>
      </c>
      <c r="R178" t="s">
        <v>27</v>
      </c>
      <c r="S178" t="s">
        <v>27</v>
      </c>
    </row>
    <row r="179" spans="1:19" x14ac:dyDescent="0.35">
      <c r="A179" t="s">
        <v>404</v>
      </c>
      <c r="B179" t="s">
        <v>405</v>
      </c>
      <c r="C179" t="s">
        <v>21</v>
      </c>
      <c r="D179">
        <v>47</v>
      </c>
      <c r="E179" t="s">
        <v>55</v>
      </c>
      <c r="F179" t="s">
        <v>33</v>
      </c>
      <c r="G179" t="s">
        <v>24</v>
      </c>
      <c r="H179" t="s">
        <v>131</v>
      </c>
      <c r="I179">
        <v>18</v>
      </c>
      <c r="J179">
        <v>59329</v>
      </c>
      <c r="K179" t="s">
        <v>26</v>
      </c>
      <c r="L179">
        <v>7</v>
      </c>
      <c r="M179">
        <v>5</v>
      </c>
      <c r="N179">
        <v>3</v>
      </c>
      <c r="O179" t="s">
        <v>28</v>
      </c>
      <c r="P179" t="s">
        <v>28</v>
      </c>
      <c r="Q179">
        <v>2</v>
      </c>
      <c r="R179" t="s">
        <v>27</v>
      </c>
      <c r="S179" t="s">
        <v>27</v>
      </c>
    </row>
    <row r="180" spans="1:19" x14ac:dyDescent="0.35">
      <c r="A180" t="s">
        <v>406</v>
      </c>
      <c r="B180" t="s">
        <v>407</v>
      </c>
      <c r="C180" t="s">
        <v>31</v>
      </c>
      <c r="D180">
        <v>21</v>
      </c>
      <c r="E180" t="s">
        <v>38</v>
      </c>
      <c r="F180" t="s">
        <v>33</v>
      </c>
      <c r="G180" t="s">
        <v>69</v>
      </c>
      <c r="H180" t="s">
        <v>49</v>
      </c>
      <c r="I180">
        <v>0</v>
      </c>
      <c r="J180">
        <v>57532</v>
      </c>
      <c r="K180" t="s">
        <v>45</v>
      </c>
      <c r="L180">
        <v>10</v>
      </c>
      <c r="M180">
        <v>32</v>
      </c>
      <c r="N180">
        <v>7</v>
      </c>
      <c r="O180" t="s">
        <v>27</v>
      </c>
      <c r="P180" t="s">
        <v>28</v>
      </c>
      <c r="Q180">
        <v>5</v>
      </c>
      <c r="R180" t="s">
        <v>27</v>
      </c>
      <c r="S180" t="s">
        <v>27</v>
      </c>
    </row>
    <row r="181" spans="1:19" x14ac:dyDescent="0.35">
      <c r="A181" t="s">
        <v>408</v>
      </c>
      <c r="B181" t="s">
        <v>409</v>
      </c>
      <c r="C181" t="s">
        <v>21</v>
      </c>
      <c r="D181">
        <v>38</v>
      </c>
      <c r="E181" t="s">
        <v>55</v>
      </c>
      <c r="F181" t="s">
        <v>43</v>
      </c>
      <c r="G181" t="s">
        <v>24</v>
      </c>
      <c r="H181" t="s">
        <v>52</v>
      </c>
      <c r="I181">
        <v>9</v>
      </c>
      <c r="J181">
        <v>68801</v>
      </c>
      <c r="K181" t="s">
        <v>26</v>
      </c>
      <c r="L181">
        <v>2</v>
      </c>
      <c r="M181">
        <v>22</v>
      </c>
      <c r="N181">
        <v>5</v>
      </c>
      <c r="O181" t="s">
        <v>28</v>
      </c>
      <c r="P181" t="s">
        <v>28</v>
      </c>
      <c r="Q181">
        <v>1</v>
      </c>
      <c r="R181" t="s">
        <v>27</v>
      </c>
      <c r="S181" t="s">
        <v>28</v>
      </c>
    </row>
    <row r="182" spans="1:19" x14ac:dyDescent="0.35">
      <c r="A182" t="s">
        <v>410</v>
      </c>
      <c r="B182" t="s">
        <v>411</v>
      </c>
      <c r="C182" t="s">
        <v>31</v>
      </c>
      <c r="D182">
        <v>45</v>
      </c>
      <c r="E182" t="s">
        <v>55</v>
      </c>
      <c r="F182" t="s">
        <v>23</v>
      </c>
      <c r="G182" t="s">
        <v>69</v>
      </c>
      <c r="H182" t="s">
        <v>61</v>
      </c>
      <c r="I182">
        <v>11</v>
      </c>
      <c r="J182">
        <v>60106</v>
      </c>
      <c r="K182" t="s">
        <v>35</v>
      </c>
      <c r="L182">
        <v>4</v>
      </c>
      <c r="M182">
        <v>24</v>
      </c>
      <c r="N182">
        <v>6</v>
      </c>
      <c r="O182" t="s">
        <v>27</v>
      </c>
      <c r="P182" t="s">
        <v>27</v>
      </c>
      <c r="Q182">
        <v>4</v>
      </c>
      <c r="R182" t="s">
        <v>28</v>
      </c>
      <c r="S182" t="s">
        <v>27</v>
      </c>
    </row>
    <row r="183" spans="1:19" x14ac:dyDescent="0.35">
      <c r="A183" t="s">
        <v>412</v>
      </c>
      <c r="B183" t="s">
        <v>413</v>
      </c>
      <c r="C183" t="s">
        <v>21</v>
      </c>
      <c r="D183">
        <v>22</v>
      </c>
      <c r="E183" t="s">
        <v>38</v>
      </c>
      <c r="F183" t="s">
        <v>48</v>
      </c>
      <c r="G183" t="s">
        <v>44</v>
      </c>
      <c r="H183" t="s">
        <v>49</v>
      </c>
      <c r="I183">
        <v>1</v>
      </c>
      <c r="J183">
        <v>50666</v>
      </c>
      <c r="K183" t="s">
        <v>35</v>
      </c>
      <c r="L183">
        <v>9</v>
      </c>
      <c r="M183">
        <v>32</v>
      </c>
      <c r="N183">
        <v>3</v>
      </c>
      <c r="O183" t="s">
        <v>27</v>
      </c>
      <c r="P183" t="s">
        <v>27</v>
      </c>
      <c r="Q183">
        <v>2</v>
      </c>
      <c r="R183" t="s">
        <v>27</v>
      </c>
      <c r="S183" t="s">
        <v>27</v>
      </c>
    </row>
    <row r="184" spans="1:19" x14ac:dyDescent="0.35">
      <c r="A184" t="s">
        <v>414</v>
      </c>
      <c r="B184" t="s">
        <v>415</v>
      </c>
      <c r="C184" t="s">
        <v>21</v>
      </c>
      <c r="D184">
        <v>21</v>
      </c>
      <c r="E184" t="s">
        <v>22</v>
      </c>
      <c r="F184" t="s">
        <v>33</v>
      </c>
      <c r="G184" t="s">
        <v>24</v>
      </c>
      <c r="H184" t="s">
        <v>61</v>
      </c>
      <c r="I184">
        <v>0</v>
      </c>
      <c r="J184">
        <v>37388</v>
      </c>
      <c r="K184" t="s">
        <v>45</v>
      </c>
      <c r="L184">
        <v>4</v>
      </c>
      <c r="M184">
        <v>34</v>
      </c>
      <c r="N184">
        <v>2</v>
      </c>
      <c r="O184" t="s">
        <v>27</v>
      </c>
      <c r="P184" t="s">
        <v>28</v>
      </c>
      <c r="Q184">
        <v>5</v>
      </c>
      <c r="R184" t="s">
        <v>27</v>
      </c>
      <c r="S184" t="s">
        <v>27</v>
      </c>
    </row>
    <row r="185" spans="1:19" x14ac:dyDescent="0.35">
      <c r="A185" t="s">
        <v>416</v>
      </c>
      <c r="B185" t="s">
        <v>417</v>
      </c>
      <c r="C185" t="s">
        <v>21</v>
      </c>
      <c r="D185">
        <v>38</v>
      </c>
      <c r="E185" t="s">
        <v>55</v>
      </c>
      <c r="F185" t="s">
        <v>48</v>
      </c>
      <c r="G185" t="s">
        <v>24</v>
      </c>
      <c r="H185" t="s">
        <v>52</v>
      </c>
      <c r="I185">
        <v>9</v>
      </c>
      <c r="J185">
        <v>43264</v>
      </c>
      <c r="K185" t="s">
        <v>45</v>
      </c>
      <c r="L185">
        <v>6</v>
      </c>
      <c r="M185">
        <v>5</v>
      </c>
      <c r="N185">
        <v>6</v>
      </c>
      <c r="O185" t="s">
        <v>28</v>
      </c>
      <c r="P185" t="s">
        <v>28</v>
      </c>
      <c r="Q185">
        <v>4</v>
      </c>
      <c r="R185" t="s">
        <v>28</v>
      </c>
      <c r="S185" t="s">
        <v>27</v>
      </c>
    </row>
    <row r="186" spans="1:19" x14ac:dyDescent="0.35">
      <c r="A186" t="s">
        <v>418</v>
      </c>
      <c r="B186" t="s">
        <v>419</v>
      </c>
      <c r="C186" t="s">
        <v>31</v>
      </c>
      <c r="D186">
        <v>43</v>
      </c>
      <c r="E186" t="s">
        <v>55</v>
      </c>
      <c r="F186" t="s">
        <v>23</v>
      </c>
      <c r="G186" t="s">
        <v>24</v>
      </c>
      <c r="H186" t="s">
        <v>52</v>
      </c>
      <c r="I186">
        <v>17</v>
      </c>
      <c r="J186">
        <v>81241</v>
      </c>
      <c r="K186" t="s">
        <v>35</v>
      </c>
      <c r="L186">
        <v>6</v>
      </c>
      <c r="M186">
        <v>19</v>
      </c>
      <c r="N186">
        <v>5</v>
      </c>
      <c r="O186" t="s">
        <v>28</v>
      </c>
      <c r="P186" t="s">
        <v>27</v>
      </c>
      <c r="Q186">
        <v>1</v>
      </c>
      <c r="R186" t="s">
        <v>27</v>
      </c>
      <c r="S186" t="s">
        <v>27</v>
      </c>
    </row>
    <row r="187" spans="1:19" x14ac:dyDescent="0.35">
      <c r="A187" t="s">
        <v>420</v>
      </c>
      <c r="B187" t="s">
        <v>421</v>
      </c>
      <c r="C187" t="s">
        <v>21</v>
      </c>
      <c r="D187">
        <v>28</v>
      </c>
      <c r="E187" t="s">
        <v>38</v>
      </c>
      <c r="F187" t="s">
        <v>23</v>
      </c>
      <c r="G187" t="s">
        <v>24</v>
      </c>
      <c r="H187" t="s">
        <v>52</v>
      </c>
      <c r="I187">
        <v>5</v>
      </c>
      <c r="J187">
        <v>82000</v>
      </c>
      <c r="K187" t="s">
        <v>45</v>
      </c>
      <c r="L187">
        <v>8</v>
      </c>
      <c r="M187">
        <v>9</v>
      </c>
      <c r="N187">
        <v>5</v>
      </c>
      <c r="O187" t="s">
        <v>28</v>
      </c>
      <c r="P187" t="s">
        <v>28</v>
      </c>
      <c r="Q187">
        <v>2</v>
      </c>
      <c r="R187" t="s">
        <v>27</v>
      </c>
      <c r="S187" t="s">
        <v>28</v>
      </c>
    </row>
    <row r="188" spans="1:19" x14ac:dyDescent="0.35">
      <c r="A188" t="s">
        <v>422</v>
      </c>
      <c r="B188" t="s">
        <v>423</v>
      </c>
      <c r="C188" t="s">
        <v>31</v>
      </c>
      <c r="D188">
        <v>33</v>
      </c>
      <c r="E188" t="s">
        <v>22</v>
      </c>
      <c r="F188" t="s">
        <v>64</v>
      </c>
      <c r="G188" t="s">
        <v>24</v>
      </c>
      <c r="H188" t="s">
        <v>52</v>
      </c>
      <c r="I188">
        <v>9</v>
      </c>
      <c r="J188">
        <v>56126</v>
      </c>
      <c r="K188" t="s">
        <v>35</v>
      </c>
      <c r="L188">
        <v>6</v>
      </c>
      <c r="M188">
        <v>20</v>
      </c>
      <c r="N188">
        <v>3</v>
      </c>
      <c r="O188" t="s">
        <v>27</v>
      </c>
      <c r="P188" t="s">
        <v>27</v>
      </c>
      <c r="Q188">
        <v>3</v>
      </c>
      <c r="R188" t="s">
        <v>28</v>
      </c>
      <c r="S188" t="s">
        <v>27</v>
      </c>
    </row>
    <row r="189" spans="1:19" x14ac:dyDescent="0.35">
      <c r="A189" t="s">
        <v>424</v>
      </c>
      <c r="B189" t="s">
        <v>425</v>
      </c>
      <c r="C189" t="s">
        <v>31</v>
      </c>
      <c r="D189">
        <v>22</v>
      </c>
      <c r="E189" t="s">
        <v>55</v>
      </c>
      <c r="F189" t="s">
        <v>43</v>
      </c>
      <c r="G189" t="s">
        <v>24</v>
      </c>
      <c r="H189" t="s">
        <v>52</v>
      </c>
      <c r="I189">
        <v>1</v>
      </c>
      <c r="J189">
        <v>66751</v>
      </c>
      <c r="K189" t="s">
        <v>45</v>
      </c>
      <c r="L189">
        <v>7</v>
      </c>
      <c r="M189">
        <v>29</v>
      </c>
      <c r="N189">
        <v>4</v>
      </c>
      <c r="O189" t="s">
        <v>28</v>
      </c>
      <c r="P189" t="s">
        <v>28</v>
      </c>
      <c r="Q189">
        <v>2</v>
      </c>
      <c r="R189" t="s">
        <v>27</v>
      </c>
      <c r="S189" t="s">
        <v>27</v>
      </c>
    </row>
    <row r="190" spans="1:19" x14ac:dyDescent="0.35">
      <c r="A190" t="s">
        <v>426</v>
      </c>
      <c r="B190" t="s">
        <v>427</v>
      </c>
      <c r="C190" t="s">
        <v>31</v>
      </c>
      <c r="D190">
        <v>49</v>
      </c>
      <c r="E190" t="s">
        <v>55</v>
      </c>
      <c r="F190" t="s">
        <v>39</v>
      </c>
      <c r="G190" t="s">
        <v>24</v>
      </c>
      <c r="H190" t="s">
        <v>25</v>
      </c>
      <c r="I190">
        <v>10</v>
      </c>
      <c r="J190">
        <v>57869</v>
      </c>
      <c r="K190" t="s">
        <v>45</v>
      </c>
      <c r="L190">
        <v>1</v>
      </c>
      <c r="M190">
        <v>33</v>
      </c>
      <c r="N190">
        <v>3</v>
      </c>
      <c r="O190" t="s">
        <v>28</v>
      </c>
      <c r="P190" t="s">
        <v>28</v>
      </c>
      <c r="Q190">
        <v>2</v>
      </c>
      <c r="R190" t="s">
        <v>28</v>
      </c>
      <c r="S190" t="s">
        <v>28</v>
      </c>
    </row>
    <row r="191" spans="1:19" x14ac:dyDescent="0.35">
      <c r="A191" t="s">
        <v>428</v>
      </c>
      <c r="B191" t="s">
        <v>429</v>
      </c>
      <c r="C191" t="s">
        <v>31</v>
      </c>
      <c r="D191">
        <v>45</v>
      </c>
      <c r="E191" t="s">
        <v>55</v>
      </c>
      <c r="F191" t="s">
        <v>39</v>
      </c>
      <c r="G191" t="s">
        <v>24</v>
      </c>
      <c r="H191" t="s">
        <v>131</v>
      </c>
      <c r="I191">
        <v>10</v>
      </c>
      <c r="J191">
        <v>55289</v>
      </c>
      <c r="K191" t="s">
        <v>26</v>
      </c>
      <c r="L191">
        <v>6</v>
      </c>
      <c r="M191">
        <v>44</v>
      </c>
      <c r="N191">
        <v>3</v>
      </c>
      <c r="O191" t="s">
        <v>27</v>
      </c>
      <c r="P191" t="s">
        <v>27</v>
      </c>
      <c r="Q191">
        <v>4</v>
      </c>
      <c r="R191" t="s">
        <v>27</v>
      </c>
      <c r="S191" t="s">
        <v>27</v>
      </c>
    </row>
    <row r="192" spans="1:19" x14ac:dyDescent="0.35">
      <c r="A192" t="s">
        <v>430</v>
      </c>
      <c r="B192" t="s">
        <v>431</v>
      </c>
      <c r="C192" t="s">
        <v>31</v>
      </c>
      <c r="D192">
        <v>32</v>
      </c>
      <c r="E192" t="s">
        <v>55</v>
      </c>
      <c r="F192" t="s">
        <v>39</v>
      </c>
      <c r="G192" t="s">
        <v>24</v>
      </c>
      <c r="H192" t="s">
        <v>70</v>
      </c>
      <c r="I192">
        <v>6</v>
      </c>
      <c r="J192">
        <v>58694</v>
      </c>
      <c r="K192" t="s">
        <v>26</v>
      </c>
      <c r="L192">
        <v>2</v>
      </c>
      <c r="M192">
        <v>8</v>
      </c>
      <c r="N192">
        <v>8</v>
      </c>
      <c r="O192" t="s">
        <v>27</v>
      </c>
      <c r="P192" t="s">
        <v>27</v>
      </c>
      <c r="Q192">
        <v>4</v>
      </c>
      <c r="R192" t="s">
        <v>27</v>
      </c>
      <c r="S192" t="s">
        <v>27</v>
      </c>
    </row>
    <row r="193" spans="1:19" x14ac:dyDescent="0.35">
      <c r="A193" t="s">
        <v>432</v>
      </c>
      <c r="B193" t="s">
        <v>433</v>
      </c>
      <c r="C193" t="s">
        <v>21</v>
      </c>
      <c r="D193">
        <v>27</v>
      </c>
      <c r="E193" t="s">
        <v>32</v>
      </c>
      <c r="F193" t="s">
        <v>64</v>
      </c>
      <c r="G193" t="s">
        <v>24</v>
      </c>
      <c r="H193" t="s">
        <v>34</v>
      </c>
      <c r="I193">
        <v>3</v>
      </c>
      <c r="J193">
        <v>61925</v>
      </c>
      <c r="K193" t="s">
        <v>26</v>
      </c>
      <c r="L193">
        <v>3</v>
      </c>
      <c r="M193">
        <v>56</v>
      </c>
      <c r="N193">
        <v>5</v>
      </c>
      <c r="O193" t="s">
        <v>27</v>
      </c>
      <c r="P193" t="s">
        <v>28</v>
      </c>
      <c r="Q193">
        <v>1</v>
      </c>
      <c r="R193" t="s">
        <v>27</v>
      </c>
      <c r="S193" t="s">
        <v>28</v>
      </c>
    </row>
    <row r="194" spans="1:19" x14ac:dyDescent="0.35">
      <c r="A194" t="s">
        <v>434</v>
      </c>
      <c r="B194" t="s">
        <v>435</v>
      </c>
      <c r="C194" t="s">
        <v>21</v>
      </c>
      <c r="D194">
        <v>51</v>
      </c>
      <c r="E194" t="s">
        <v>55</v>
      </c>
      <c r="F194" t="s">
        <v>43</v>
      </c>
      <c r="G194" t="s">
        <v>44</v>
      </c>
      <c r="H194" t="s">
        <v>52</v>
      </c>
      <c r="I194">
        <v>12</v>
      </c>
      <c r="J194">
        <v>63067</v>
      </c>
      <c r="K194" t="s">
        <v>45</v>
      </c>
      <c r="L194">
        <v>5</v>
      </c>
      <c r="M194">
        <v>34</v>
      </c>
      <c r="N194">
        <v>1</v>
      </c>
      <c r="O194" t="s">
        <v>27</v>
      </c>
      <c r="P194" t="s">
        <v>27</v>
      </c>
      <c r="Q194">
        <v>2</v>
      </c>
      <c r="R194" t="s">
        <v>27</v>
      </c>
      <c r="S194" t="s">
        <v>27</v>
      </c>
    </row>
    <row r="195" spans="1:19" x14ac:dyDescent="0.35">
      <c r="A195" t="s">
        <v>436</v>
      </c>
      <c r="B195" t="s">
        <v>437</v>
      </c>
      <c r="C195" t="s">
        <v>31</v>
      </c>
      <c r="D195">
        <v>30</v>
      </c>
      <c r="E195" t="s">
        <v>55</v>
      </c>
      <c r="F195" t="s">
        <v>43</v>
      </c>
      <c r="G195" t="s">
        <v>24</v>
      </c>
      <c r="H195" t="s">
        <v>34</v>
      </c>
      <c r="I195">
        <v>5</v>
      </c>
      <c r="J195">
        <v>63342</v>
      </c>
      <c r="K195" t="s">
        <v>45</v>
      </c>
      <c r="L195">
        <v>6</v>
      </c>
      <c r="M195">
        <v>13</v>
      </c>
      <c r="N195">
        <v>6</v>
      </c>
      <c r="O195" t="s">
        <v>27</v>
      </c>
      <c r="P195" t="s">
        <v>27</v>
      </c>
      <c r="Q195">
        <v>3</v>
      </c>
      <c r="R195" t="s">
        <v>27</v>
      </c>
      <c r="S195" t="s">
        <v>27</v>
      </c>
    </row>
    <row r="196" spans="1:19" x14ac:dyDescent="0.35">
      <c r="A196" t="s">
        <v>438</v>
      </c>
      <c r="B196" t="s">
        <v>439</v>
      </c>
      <c r="C196" t="s">
        <v>31</v>
      </c>
      <c r="D196">
        <v>52</v>
      </c>
      <c r="E196" t="s">
        <v>55</v>
      </c>
      <c r="F196" t="s">
        <v>23</v>
      </c>
      <c r="G196" t="s">
        <v>69</v>
      </c>
      <c r="H196" t="s">
        <v>61</v>
      </c>
      <c r="I196">
        <v>16</v>
      </c>
      <c r="J196">
        <v>82000</v>
      </c>
      <c r="K196" t="s">
        <v>26</v>
      </c>
      <c r="L196">
        <v>7</v>
      </c>
      <c r="M196">
        <v>35</v>
      </c>
      <c r="N196">
        <v>3</v>
      </c>
      <c r="O196" t="s">
        <v>28</v>
      </c>
      <c r="P196" t="s">
        <v>27</v>
      </c>
      <c r="Q196">
        <v>1</v>
      </c>
      <c r="R196" t="s">
        <v>27</v>
      </c>
      <c r="S196" t="s">
        <v>27</v>
      </c>
    </row>
    <row r="197" spans="1:19" x14ac:dyDescent="0.35">
      <c r="A197" t="s">
        <v>440</v>
      </c>
      <c r="B197" t="s">
        <v>441</v>
      </c>
      <c r="C197" t="s">
        <v>31</v>
      </c>
      <c r="D197">
        <v>51</v>
      </c>
      <c r="E197" t="s">
        <v>55</v>
      </c>
      <c r="F197" t="s">
        <v>33</v>
      </c>
      <c r="G197" t="s">
        <v>24</v>
      </c>
      <c r="H197" t="s">
        <v>25</v>
      </c>
      <c r="I197">
        <v>23</v>
      </c>
      <c r="J197">
        <v>75184</v>
      </c>
      <c r="K197" t="s">
        <v>45</v>
      </c>
      <c r="L197">
        <v>6</v>
      </c>
      <c r="M197">
        <v>0</v>
      </c>
      <c r="N197">
        <v>5</v>
      </c>
      <c r="O197" t="s">
        <v>27</v>
      </c>
      <c r="P197" t="s">
        <v>28</v>
      </c>
      <c r="Q197">
        <v>1</v>
      </c>
      <c r="R197" t="s">
        <v>27</v>
      </c>
      <c r="S197" t="s">
        <v>27</v>
      </c>
    </row>
    <row r="198" spans="1:19" x14ac:dyDescent="0.35">
      <c r="A198" t="s">
        <v>442</v>
      </c>
      <c r="B198" t="s">
        <v>443</v>
      </c>
      <c r="C198" t="s">
        <v>21</v>
      </c>
      <c r="D198">
        <v>36</v>
      </c>
      <c r="E198" t="s">
        <v>38</v>
      </c>
      <c r="F198" t="s">
        <v>23</v>
      </c>
      <c r="G198" t="s">
        <v>24</v>
      </c>
      <c r="H198" t="s">
        <v>61</v>
      </c>
      <c r="I198">
        <v>9</v>
      </c>
      <c r="J198">
        <v>82000</v>
      </c>
      <c r="K198" t="s">
        <v>45</v>
      </c>
      <c r="L198">
        <v>7</v>
      </c>
      <c r="M198">
        <v>0</v>
      </c>
      <c r="N198">
        <v>2</v>
      </c>
      <c r="O198" t="s">
        <v>28</v>
      </c>
      <c r="P198" t="s">
        <v>28</v>
      </c>
      <c r="Q198">
        <v>2</v>
      </c>
      <c r="R198" t="s">
        <v>27</v>
      </c>
      <c r="S198" t="s">
        <v>27</v>
      </c>
    </row>
    <row r="199" spans="1:19" x14ac:dyDescent="0.35">
      <c r="A199" t="s">
        <v>444</v>
      </c>
      <c r="B199" t="s">
        <v>445</v>
      </c>
      <c r="C199" t="s">
        <v>31</v>
      </c>
      <c r="D199">
        <v>39</v>
      </c>
      <c r="E199" t="s">
        <v>55</v>
      </c>
      <c r="F199" t="s">
        <v>43</v>
      </c>
      <c r="G199" t="s">
        <v>69</v>
      </c>
      <c r="H199" t="s">
        <v>70</v>
      </c>
      <c r="I199">
        <v>11</v>
      </c>
      <c r="J199">
        <v>74127</v>
      </c>
      <c r="K199" t="s">
        <v>26</v>
      </c>
      <c r="L199">
        <v>8</v>
      </c>
      <c r="M199">
        <v>12</v>
      </c>
      <c r="N199">
        <v>5</v>
      </c>
      <c r="O199" t="s">
        <v>28</v>
      </c>
      <c r="P199" t="s">
        <v>28</v>
      </c>
      <c r="Q199">
        <v>4</v>
      </c>
      <c r="R199" t="s">
        <v>27</v>
      </c>
      <c r="S199" t="s">
        <v>27</v>
      </c>
    </row>
    <row r="200" spans="1:19" x14ac:dyDescent="0.35">
      <c r="A200" t="s">
        <v>446</v>
      </c>
      <c r="B200" t="s">
        <v>447</v>
      </c>
      <c r="C200" t="s">
        <v>21</v>
      </c>
      <c r="D200">
        <v>45</v>
      </c>
      <c r="E200" t="s">
        <v>38</v>
      </c>
      <c r="F200" t="s">
        <v>23</v>
      </c>
      <c r="G200" t="s">
        <v>24</v>
      </c>
      <c r="H200" t="s">
        <v>49</v>
      </c>
      <c r="I200">
        <v>18</v>
      </c>
      <c r="J200">
        <v>71675</v>
      </c>
      <c r="K200" t="s">
        <v>35</v>
      </c>
      <c r="L200">
        <v>2</v>
      </c>
      <c r="M200">
        <v>37</v>
      </c>
      <c r="N200">
        <v>5</v>
      </c>
      <c r="O200" t="s">
        <v>28</v>
      </c>
      <c r="P200" t="s">
        <v>28</v>
      </c>
      <c r="Q200">
        <v>4</v>
      </c>
      <c r="R200" t="s">
        <v>27</v>
      </c>
      <c r="S200" t="s">
        <v>27</v>
      </c>
    </row>
    <row r="201" spans="1:19" x14ac:dyDescent="0.35">
      <c r="A201" t="s">
        <v>448</v>
      </c>
      <c r="B201" t="s">
        <v>449</v>
      </c>
      <c r="C201" t="s">
        <v>21</v>
      </c>
      <c r="D201">
        <v>34</v>
      </c>
      <c r="E201" t="s">
        <v>38</v>
      </c>
      <c r="F201" t="s">
        <v>33</v>
      </c>
      <c r="G201" t="s">
        <v>24</v>
      </c>
      <c r="H201" t="s">
        <v>49</v>
      </c>
      <c r="I201">
        <v>6</v>
      </c>
      <c r="J201">
        <v>58554</v>
      </c>
      <c r="K201" t="s">
        <v>45</v>
      </c>
      <c r="L201">
        <v>8</v>
      </c>
      <c r="M201">
        <v>44</v>
      </c>
      <c r="N201">
        <v>3</v>
      </c>
      <c r="O201" t="s">
        <v>27</v>
      </c>
      <c r="P201" t="s">
        <v>28</v>
      </c>
      <c r="Q201">
        <v>1</v>
      </c>
      <c r="R201" t="s">
        <v>27</v>
      </c>
      <c r="S201" t="s">
        <v>27</v>
      </c>
    </row>
    <row r="202" spans="1:19" x14ac:dyDescent="0.35">
      <c r="A202" t="s">
        <v>450</v>
      </c>
      <c r="B202" t="s">
        <v>451</v>
      </c>
      <c r="C202" t="s">
        <v>21</v>
      </c>
      <c r="D202">
        <v>25</v>
      </c>
      <c r="E202" t="s">
        <v>38</v>
      </c>
      <c r="F202" t="s">
        <v>64</v>
      </c>
      <c r="G202" t="s">
        <v>24</v>
      </c>
      <c r="H202" t="s">
        <v>70</v>
      </c>
      <c r="I202">
        <v>3</v>
      </c>
      <c r="J202">
        <v>67008</v>
      </c>
      <c r="K202" t="s">
        <v>45</v>
      </c>
      <c r="L202">
        <v>8</v>
      </c>
      <c r="M202">
        <v>31</v>
      </c>
      <c r="N202">
        <v>5</v>
      </c>
      <c r="O202" t="s">
        <v>28</v>
      </c>
      <c r="P202" t="s">
        <v>28</v>
      </c>
      <c r="Q202">
        <v>2</v>
      </c>
      <c r="R202" t="s">
        <v>28</v>
      </c>
      <c r="S202" t="s">
        <v>27</v>
      </c>
    </row>
    <row r="203" spans="1:19" x14ac:dyDescent="0.35">
      <c r="A203" t="s">
        <v>452</v>
      </c>
      <c r="B203" t="s">
        <v>453</v>
      </c>
      <c r="C203" t="s">
        <v>454</v>
      </c>
      <c r="D203">
        <v>25</v>
      </c>
      <c r="E203" t="s">
        <v>22</v>
      </c>
      <c r="F203" t="s">
        <v>23</v>
      </c>
      <c r="G203" t="s">
        <v>24</v>
      </c>
      <c r="H203" t="s">
        <v>61</v>
      </c>
      <c r="I203">
        <v>3</v>
      </c>
      <c r="J203">
        <v>68340</v>
      </c>
      <c r="K203" t="s">
        <v>45</v>
      </c>
      <c r="L203">
        <v>7</v>
      </c>
      <c r="M203">
        <v>49</v>
      </c>
      <c r="N203">
        <v>2</v>
      </c>
      <c r="O203" t="s">
        <v>27</v>
      </c>
      <c r="P203" t="s">
        <v>28</v>
      </c>
      <c r="Q203">
        <v>3</v>
      </c>
      <c r="R203" t="s">
        <v>27</v>
      </c>
      <c r="S203" t="s">
        <v>27</v>
      </c>
    </row>
    <row r="204" spans="1:19" x14ac:dyDescent="0.35">
      <c r="A204" t="s">
        <v>455</v>
      </c>
      <c r="B204" t="s">
        <v>456</v>
      </c>
      <c r="C204" t="s">
        <v>21</v>
      </c>
      <c r="D204">
        <v>54</v>
      </c>
      <c r="E204" t="s">
        <v>38</v>
      </c>
      <c r="F204" t="s">
        <v>33</v>
      </c>
      <c r="G204" t="s">
        <v>24</v>
      </c>
      <c r="H204" t="s">
        <v>61</v>
      </c>
      <c r="I204">
        <v>22</v>
      </c>
      <c r="J204">
        <v>82000</v>
      </c>
      <c r="K204" t="s">
        <v>40</v>
      </c>
      <c r="L204">
        <v>7</v>
      </c>
      <c r="M204">
        <v>6</v>
      </c>
      <c r="N204">
        <v>7</v>
      </c>
      <c r="O204" t="s">
        <v>27</v>
      </c>
      <c r="P204" t="s">
        <v>28</v>
      </c>
      <c r="Q204">
        <v>2</v>
      </c>
      <c r="R204" t="s">
        <v>27</v>
      </c>
      <c r="S204" t="s">
        <v>27</v>
      </c>
    </row>
    <row r="205" spans="1:19" x14ac:dyDescent="0.35">
      <c r="A205" t="s">
        <v>457</v>
      </c>
      <c r="B205" t="s">
        <v>458</v>
      </c>
      <c r="C205" t="s">
        <v>31</v>
      </c>
      <c r="D205">
        <v>30</v>
      </c>
      <c r="E205" t="s">
        <v>55</v>
      </c>
      <c r="F205" t="s">
        <v>39</v>
      </c>
      <c r="G205" t="s">
        <v>24</v>
      </c>
      <c r="H205" t="s">
        <v>25</v>
      </c>
      <c r="I205">
        <v>6</v>
      </c>
      <c r="J205">
        <v>49612</v>
      </c>
      <c r="K205" t="s">
        <v>45</v>
      </c>
      <c r="L205">
        <v>4</v>
      </c>
      <c r="M205">
        <v>4</v>
      </c>
      <c r="N205">
        <v>0</v>
      </c>
      <c r="O205" t="s">
        <v>27</v>
      </c>
      <c r="P205" t="s">
        <v>28</v>
      </c>
      <c r="Q205">
        <v>3</v>
      </c>
      <c r="R205" t="s">
        <v>27</v>
      </c>
      <c r="S205" t="s">
        <v>27</v>
      </c>
    </row>
    <row r="206" spans="1:19" x14ac:dyDescent="0.35">
      <c r="A206" t="s">
        <v>459</v>
      </c>
      <c r="B206" t="s">
        <v>460</v>
      </c>
      <c r="C206" t="s">
        <v>21</v>
      </c>
      <c r="D206">
        <v>45</v>
      </c>
      <c r="E206" t="s">
        <v>55</v>
      </c>
      <c r="F206" t="s">
        <v>43</v>
      </c>
      <c r="G206" t="s">
        <v>69</v>
      </c>
      <c r="H206" t="s">
        <v>61</v>
      </c>
      <c r="I206">
        <v>10</v>
      </c>
      <c r="J206">
        <v>75037</v>
      </c>
      <c r="K206" t="s">
        <v>45</v>
      </c>
      <c r="L206">
        <v>2</v>
      </c>
      <c r="M206">
        <v>22</v>
      </c>
      <c r="N206">
        <v>4</v>
      </c>
      <c r="O206" t="s">
        <v>27</v>
      </c>
      <c r="P206" t="s">
        <v>27</v>
      </c>
      <c r="Q206">
        <v>1</v>
      </c>
      <c r="R206" t="s">
        <v>28</v>
      </c>
      <c r="S206" t="s">
        <v>27</v>
      </c>
    </row>
    <row r="207" spans="1:19" x14ac:dyDescent="0.35">
      <c r="A207" t="s">
        <v>461</v>
      </c>
      <c r="B207" t="s">
        <v>462</v>
      </c>
      <c r="C207" t="s">
        <v>21</v>
      </c>
      <c r="D207">
        <v>32</v>
      </c>
      <c r="E207" t="s">
        <v>38</v>
      </c>
      <c r="F207" t="s">
        <v>23</v>
      </c>
      <c r="G207" t="s">
        <v>24</v>
      </c>
      <c r="H207" t="s">
        <v>131</v>
      </c>
      <c r="I207">
        <v>6</v>
      </c>
      <c r="J207">
        <v>70683</v>
      </c>
      <c r="K207" t="s">
        <v>45</v>
      </c>
      <c r="L207">
        <v>6</v>
      </c>
      <c r="M207">
        <v>27</v>
      </c>
      <c r="N207">
        <v>3</v>
      </c>
      <c r="O207" t="s">
        <v>27</v>
      </c>
      <c r="P207" t="s">
        <v>27</v>
      </c>
      <c r="Q207">
        <v>1</v>
      </c>
      <c r="R207" t="s">
        <v>27</v>
      </c>
      <c r="S207" t="s">
        <v>27</v>
      </c>
    </row>
    <row r="208" spans="1:19" x14ac:dyDescent="0.35">
      <c r="A208" t="s">
        <v>463</v>
      </c>
      <c r="B208" t="s">
        <v>464</v>
      </c>
      <c r="C208" t="s">
        <v>21</v>
      </c>
      <c r="D208">
        <v>36</v>
      </c>
      <c r="E208" t="s">
        <v>55</v>
      </c>
      <c r="F208" t="s">
        <v>60</v>
      </c>
      <c r="G208" t="s">
        <v>24</v>
      </c>
      <c r="H208" t="s">
        <v>61</v>
      </c>
      <c r="I208">
        <v>9</v>
      </c>
      <c r="J208">
        <v>56682</v>
      </c>
      <c r="K208" t="s">
        <v>40</v>
      </c>
      <c r="L208">
        <v>7</v>
      </c>
      <c r="M208">
        <v>44</v>
      </c>
      <c r="N208">
        <v>6</v>
      </c>
      <c r="O208" t="s">
        <v>28</v>
      </c>
      <c r="P208" t="s">
        <v>28</v>
      </c>
      <c r="Q208">
        <v>5</v>
      </c>
      <c r="R208" t="s">
        <v>27</v>
      </c>
      <c r="S208" t="s">
        <v>27</v>
      </c>
    </row>
    <row r="209" spans="1:19" x14ac:dyDescent="0.35">
      <c r="A209" t="s">
        <v>465</v>
      </c>
      <c r="B209" t="s">
        <v>466</v>
      </c>
      <c r="C209" t="s">
        <v>31</v>
      </c>
      <c r="D209">
        <v>51</v>
      </c>
      <c r="E209" t="s">
        <v>55</v>
      </c>
      <c r="F209" t="s">
        <v>33</v>
      </c>
      <c r="G209" t="s">
        <v>69</v>
      </c>
      <c r="H209" t="s">
        <v>25</v>
      </c>
      <c r="I209">
        <v>17</v>
      </c>
      <c r="J209">
        <v>46674</v>
      </c>
      <c r="K209" t="s">
        <v>26</v>
      </c>
      <c r="L209">
        <v>2</v>
      </c>
      <c r="M209">
        <v>19</v>
      </c>
      <c r="N209">
        <v>4</v>
      </c>
      <c r="O209" t="s">
        <v>28</v>
      </c>
      <c r="P209" t="s">
        <v>28</v>
      </c>
      <c r="Q209">
        <v>4</v>
      </c>
      <c r="R209" t="s">
        <v>27</v>
      </c>
      <c r="S209" t="s">
        <v>27</v>
      </c>
    </row>
    <row r="210" spans="1:19" x14ac:dyDescent="0.35">
      <c r="A210" t="s">
        <v>467</v>
      </c>
      <c r="B210" t="s">
        <v>468</v>
      </c>
      <c r="C210" t="s">
        <v>21</v>
      </c>
      <c r="D210">
        <v>23</v>
      </c>
      <c r="E210" t="s">
        <v>38</v>
      </c>
      <c r="F210" t="s">
        <v>33</v>
      </c>
      <c r="G210" t="s">
        <v>69</v>
      </c>
      <c r="H210" t="s">
        <v>61</v>
      </c>
      <c r="I210">
        <v>1</v>
      </c>
      <c r="J210">
        <v>57634</v>
      </c>
      <c r="K210" t="s">
        <v>35</v>
      </c>
      <c r="L210">
        <v>7</v>
      </c>
      <c r="M210">
        <v>14</v>
      </c>
      <c r="N210">
        <v>3</v>
      </c>
      <c r="O210" t="s">
        <v>28</v>
      </c>
      <c r="P210" t="s">
        <v>28</v>
      </c>
      <c r="Q210">
        <v>2</v>
      </c>
      <c r="R210" t="s">
        <v>27</v>
      </c>
      <c r="S210" t="s">
        <v>27</v>
      </c>
    </row>
    <row r="211" spans="1:19" x14ac:dyDescent="0.35">
      <c r="A211" t="s">
        <v>469</v>
      </c>
      <c r="B211" t="s">
        <v>470</v>
      </c>
      <c r="C211" t="s">
        <v>31</v>
      </c>
      <c r="D211">
        <v>36</v>
      </c>
      <c r="E211" t="s">
        <v>55</v>
      </c>
      <c r="F211" t="s">
        <v>43</v>
      </c>
      <c r="G211" t="s">
        <v>69</v>
      </c>
      <c r="H211" t="s">
        <v>25</v>
      </c>
      <c r="I211">
        <v>6</v>
      </c>
      <c r="J211">
        <v>82000</v>
      </c>
      <c r="K211" t="s">
        <v>45</v>
      </c>
      <c r="L211">
        <v>3</v>
      </c>
      <c r="M211">
        <v>20</v>
      </c>
      <c r="N211">
        <v>1</v>
      </c>
      <c r="O211" t="s">
        <v>27</v>
      </c>
      <c r="P211" t="s">
        <v>28</v>
      </c>
      <c r="Q211">
        <v>1</v>
      </c>
      <c r="R211" t="s">
        <v>27</v>
      </c>
      <c r="S211" t="s">
        <v>27</v>
      </c>
    </row>
    <row r="212" spans="1:19" x14ac:dyDescent="0.35">
      <c r="A212" t="s">
        <v>471</v>
      </c>
      <c r="B212" t="s">
        <v>472</v>
      </c>
      <c r="C212" t="s">
        <v>21</v>
      </c>
      <c r="D212">
        <v>48</v>
      </c>
      <c r="E212" t="s">
        <v>55</v>
      </c>
      <c r="F212" t="s">
        <v>43</v>
      </c>
      <c r="G212" t="s">
        <v>44</v>
      </c>
      <c r="H212" t="s">
        <v>61</v>
      </c>
      <c r="I212">
        <v>20</v>
      </c>
      <c r="J212">
        <v>82000</v>
      </c>
      <c r="K212" t="s">
        <v>45</v>
      </c>
      <c r="L212">
        <v>1</v>
      </c>
      <c r="M212">
        <v>36</v>
      </c>
      <c r="N212">
        <v>3</v>
      </c>
      <c r="O212" t="s">
        <v>27</v>
      </c>
      <c r="P212" t="s">
        <v>28</v>
      </c>
      <c r="Q212">
        <v>2</v>
      </c>
      <c r="R212" t="s">
        <v>28</v>
      </c>
      <c r="S212" t="s">
        <v>28</v>
      </c>
    </row>
    <row r="213" spans="1:19" x14ac:dyDescent="0.35">
      <c r="A213" t="s">
        <v>473</v>
      </c>
      <c r="B213" t="s">
        <v>474</v>
      </c>
      <c r="C213" t="s">
        <v>31</v>
      </c>
      <c r="D213">
        <v>21</v>
      </c>
      <c r="E213" t="s">
        <v>38</v>
      </c>
      <c r="F213" t="s">
        <v>48</v>
      </c>
      <c r="G213" t="s">
        <v>69</v>
      </c>
      <c r="H213" t="s">
        <v>70</v>
      </c>
      <c r="I213">
        <v>0</v>
      </c>
      <c r="J213">
        <v>36595</v>
      </c>
      <c r="K213" t="s">
        <v>40</v>
      </c>
      <c r="L213">
        <v>5</v>
      </c>
      <c r="M213">
        <v>35</v>
      </c>
      <c r="N213">
        <v>6</v>
      </c>
      <c r="O213" t="s">
        <v>27</v>
      </c>
      <c r="P213" t="s">
        <v>27</v>
      </c>
      <c r="Q213">
        <v>4</v>
      </c>
      <c r="R213" t="s">
        <v>27</v>
      </c>
      <c r="S213" t="s">
        <v>27</v>
      </c>
    </row>
    <row r="214" spans="1:19" x14ac:dyDescent="0.35">
      <c r="A214" t="s">
        <v>475</v>
      </c>
      <c r="B214" t="s">
        <v>476</v>
      </c>
      <c r="C214" t="s">
        <v>31</v>
      </c>
      <c r="D214">
        <v>25</v>
      </c>
      <c r="E214" t="s">
        <v>55</v>
      </c>
      <c r="F214" t="s">
        <v>48</v>
      </c>
      <c r="G214" t="s">
        <v>24</v>
      </c>
      <c r="H214" t="s">
        <v>25</v>
      </c>
      <c r="I214">
        <v>3</v>
      </c>
      <c r="J214">
        <v>51762</v>
      </c>
      <c r="K214" t="s">
        <v>35</v>
      </c>
      <c r="L214">
        <v>5</v>
      </c>
      <c r="M214">
        <v>40</v>
      </c>
      <c r="N214">
        <v>1</v>
      </c>
      <c r="O214" t="s">
        <v>27</v>
      </c>
      <c r="P214" t="s">
        <v>27</v>
      </c>
      <c r="Q214">
        <v>2</v>
      </c>
      <c r="R214" t="s">
        <v>27</v>
      </c>
      <c r="S214" t="s">
        <v>27</v>
      </c>
    </row>
    <row r="215" spans="1:19" x14ac:dyDescent="0.35">
      <c r="A215" t="s">
        <v>477</v>
      </c>
      <c r="B215" t="s">
        <v>478</v>
      </c>
      <c r="C215" t="s">
        <v>21</v>
      </c>
      <c r="D215">
        <v>53</v>
      </c>
      <c r="E215" t="s">
        <v>32</v>
      </c>
      <c r="F215" t="s">
        <v>23</v>
      </c>
      <c r="G215" t="s">
        <v>24</v>
      </c>
      <c r="H215" t="s">
        <v>70</v>
      </c>
      <c r="I215">
        <v>19</v>
      </c>
      <c r="J215">
        <v>72619</v>
      </c>
      <c r="K215" t="s">
        <v>45</v>
      </c>
      <c r="L215">
        <v>5</v>
      </c>
      <c r="M215">
        <v>49</v>
      </c>
      <c r="N215">
        <v>7</v>
      </c>
      <c r="O215" t="s">
        <v>27</v>
      </c>
      <c r="P215" t="s">
        <v>27</v>
      </c>
      <c r="Q215">
        <v>2</v>
      </c>
      <c r="R215" t="s">
        <v>27</v>
      </c>
      <c r="S215" t="s">
        <v>27</v>
      </c>
    </row>
    <row r="216" spans="1:19" x14ac:dyDescent="0.35">
      <c r="A216" t="s">
        <v>479</v>
      </c>
      <c r="B216" t="s">
        <v>480</v>
      </c>
      <c r="C216" t="s">
        <v>21</v>
      </c>
      <c r="D216">
        <v>47</v>
      </c>
      <c r="E216" t="s">
        <v>55</v>
      </c>
      <c r="F216" t="s">
        <v>23</v>
      </c>
      <c r="G216" t="s">
        <v>24</v>
      </c>
      <c r="H216" t="s">
        <v>61</v>
      </c>
      <c r="I216">
        <v>11</v>
      </c>
      <c r="J216">
        <v>80288</v>
      </c>
      <c r="K216" t="s">
        <v>26</v>
      </c>
      <c r="L216">
        <v>1</v>
      </c>
      <c r="M216">
        <v>27</v>
      </c>
      <c r="N216">
        <v>2</v>
      </c>
      <c r="O216" t="s">
        <v>27</v>
      </c>
      <c r="P216" t="s">
        <v>27</v>
      </c>
      <c r="Q216">
        <v>3</v>
      </c>
      <c r="R216" t="s">
        <v>27</v>
      </c>
      <c r="S216" t="s">
        <v>27</v>
      </c>
    </row>
    <row r="217" spans="1:19" x14ac:dyDescent="0.35">
      <c r="A217" t="s">
        <v>481</v>
      </c>
      <c r="B217" t="s">
        <v>482</v>
      </c>
      <c r="C217" t="s">
        <v>31</v>
      </c>
      <c r="D217">
        <v>36</v>
      </c>
      <c r="E217" t="s">
        <v>55</v>
      </c>
      <c r="F217" t="s">
        <v>39</v>
      </c>
      <c r="G217" t="s">
        <v>24</v>
      </c>
      <c r="H217" t="s">
        <v>34</v>
      </c>
      <c r="I217">
        <v>10</v>
      </c>
      <c r="J217">
        <v>35719</v>
      </c>
      <c r="K217" t="s">
        <v>45</v>
      </c>
      <c r="L217">
        <v>5</v>
      </c>
      <c r="M217">
        <v>10</v>
      </c>
      <c r="N217">
        <v>3</v>
      </c>
      <c r="O217" t="s">
        <v>28</v>
      </c>
      <c r="P217" t="s">
        <v>28</v>
      </c>
      <c r="Q217">
        <v>3</v>
      </c>
      <c r="R217" t="s">
        <v>27</v>
      </c>
      <c r="S217" t="s">
        <v>28</v>
      </c>
    </row>
    <row r="218" spans="1:19" x14ac:dyDescent="0.35">
      <c r="A218" t="s">
        <v>483</v>
      </c>
      <c r="B218" t="s">
        <v>484</v>
      </c>
      <c r="C218" t="s">
        <v>31</v>
      </c>
      <c r="D218">
        <v>22</v>
      </c>
      <c r="E218" t="s">
        <v>55</v>
      </c>
      <c r="F218" t="s">
        <v>39</v>
      </c>
      <c r="G218" t="s">
        <v>24</v>
      </c>
      <c r="H218" t="s">
        <v>52</v>
      </c>
      <c r="I218">
        <v>1</v>
      </c>
      <c r="J218">
        <v>53760</v>
      </c>
      <c r="K218" t="s">
        <v>45</v>
      </c>
      <c r="L218">
        <v>7</v>
      </c>
      <c r="M218">
        <v>0</v>
      </c>
      <c r="N218">
        <v>6</v>
      </c>
      <c r="O218" t="s">
        <v>28</v>
      </c>
      <c r="P218" t="s">
        <v>28</v>
      </c>
      <c r="Q218">
        <v>3</v>
      </c>
      <c r="R218" t="s">
        <v>28</v>
      </c>
      <c r="S218" t="s">
        <v>27</v>
      </c>
    </row>
    <row r="219" spans="1:19" x14ac:dyDescent="0.35">
      <c r="A219" t="s">
        <v>485</v>
      </c>
      <c r="B219" t="s">
        <v>486</v>
      </c>
      <c r="C219" t="s">
        <v>31</v>
      </c>
      <c r="D219">
        <v>30</v>
      </c>
      <c r="E219" t="s">
        <v>22</v>
      </c>
      <c r="F219" t="s">
        <v>23</v>
      </c>
      <c r="G219" t="s">
        <v>69</v>
      </c>
      <c r="H219" t="s">
        <v>131</v>
      </c>
      <c r="I219">
        <v>4</v>
      </c>
      <c r="J219">
        <v>57859</v>
      </c>
      <c r="K219" t="s">
        <v>26</v>
      </c>
      <c r="L219">
        <v>5</v>
      </c>
      <c r="M219">
        <v>34</v>
      </c>
      <c r="N219">
        <v>2</v>
      </c>
      <c r="O219" t="s">
        <v>27</v>
      </c>
      <c r="P219" t="s">
        <v>27</v>
      </c>
      <c r="Q219">
        <v>5</v>
      </c>
      <c r="R219" t="s">
        <v>27</v>
      </c>
      <c r="S219" t="s">
        <v>27</v>
      </c>
    </row>
    <row r="220" spans="1:19" x14ac:dyDescent="0.35">
      <c r="A220" t="s">
        <v>487</v>
      </c>
      <c r="B220" t="s">
        <v>488</v>
      </c>
      <c r="C220" t="s">
        <v>31</v>
      </c>
      <c r="D220">
        <v>39</v>
      </c>
      <c r="E220" t="s">
        <v>55</v>
      </c>
      <c r="F220" t="s">
        <v>43</v>
      </c>
      <c r="G220" t="s">
        <v>69</v>
      </c>
      <c r="H220" t="s">
        <v>52</v>
      </c>
      <c r="I220">
        <v>12</v>
      </c>
      <c r="J220">
        <v>72124</v>
      </c>
      <c r="K220" t="s">
        <v>26</v>
      </c>
      <c r="L220">
        <v>6</v>
      </c>
      <c r="M220">
        <v>34</v>
      </c>
      <c r="N220">
        <v>4</v>
      </c>
      <c r="O220" t="s">
        <v>28</v>
      </c>
      <c r="P220" t="s">
        <v>28</v>
      </c>
      <c r="Q220">
        <v>2</v>
      </c>
      <c r="R220" t="s">
        <v>28</v>
      </c>
      <c r="S220" t="s">
        <v>27</v>
      </c>
    </row>
    <row r="221" spans="1:19" x14ac:dyDescent="0.35">
      <c r="A221" t="s">
        <v>489</v>
      </c>
      <c r="B221" t="s">
        <v>490</v>
      </c>
      <c r="C221" t="s">
        <v>21</v>
      </c>
      <c r="D221">
        <v>27</v>
      </c>
      <c r="E221" t="s">
        <v>38</v>
      </c>
      <c r="F221" t="s">
        <v>43</v>
      </c>
      <c r="G221" t="s">
        <v>24</v>
      </c>
      <c r="H221" t="s">
        <v>25</v>
      </c>
      <c r="I221">
        <v>3</v>
      </c>
      <c r="J221">
        <v>63457</v>
      </c>
      <c r="K221" t="s">
        <v>35</v>
      </c>
      <c r="L221">
        <v>9</v>
      </c>
      <c r="M221">
        <v>34</v>
      </c>
      <c r="N221">
        <v>6</v>
      </c>
      <c r="O221" t="s">
        <v>28</v>
      </c>
      <c r="P221" t="s">
        <v>27</v>
      </c>
      <c r="Q221">
        <v>3</v>
      </c>
      <c r="R221" t="s">
        <v>27</v>
      </c>
      <c r="S221" t="s">
        <v>27</v>
      </c>
    </row>
    <row r="222" spans="1:19" x14ac:dyDescent="0.35">
      <c r="A222" t="s">
        <v>491</v>
      </c>
      <c r="B222" t="s">
        <v>492</v>
      </c>
      <c r="C222" t="s">
        <v>31</v>
      </c>
      <c r="D222">
        <v>48</v>
      </c>
      <c r="E222" t="s">
        <v>38</v>
      </c>
      <c r="F222" t="s">
        <v>39</v>
      </c>
      <c r="G222" t="s">
        <v>69</v>
      </c>
      <c r="H222" t="s">
        <v>70</v>
      </c>
      <c r="I222">
        <v>15</v>
      </c>
      <c r="J222">
        <v>66084</v>
      </c>
      <c r="K222" t="s">
        <v>45</v>
      </c>
      <c r="L222">
        <v>6</v>
      </c>
      <c r="M222">
        <v>-5</v>
      </c>
      <c r="N222">
        <v>3</v>
      </c>
      <c r="O222" t="s">
        <v>28</v>
      </c>
      <c r="P222" t="s">
        <v>28</v>
      </c>
      <c r="Q222">
        <v>4</v>
      </c>
      <c r="R222" t="s">
        <v>28</v>
      </c>
      <c r="S222" t="s">
        <v>27</v>
      </c>
    </row>
    <row r="223" spans="1:19" x14ac:dyDescent="0.35">
      <c r="A223" t="s">
        <v>493</v>
      </c>
      <c r="B223" t="s">
        <v>494</v>
      </c>
      <c r="C223" t="s">
        <v>31</v>
      </c>
      <c r="D223">
        <v>39</v>
      </c>
      <c r="E223" t="s">
        <v>55</v>
      </c>
      <c r="F223" t="s">
        <v>60</v>
      </c>
      <c r="G223" t="s">
        <v>24</v>
      </c>
      <c r="H223" t="s">
        <v>52</v>
      </c>
      <c r="I223">
        <v>15</v>
      </c>
      <c r="J223">
        <v>64085</v>
      </c>
      <c r="K223" t="s">
        <v>35</v>
      </c>
      <c r="L223">
        <v>3</v>
      </c>
      <c r="M223">
        <v>18</v>
      </c>
      <c r="N223">
        <v>3</v>
      </c>
      <c r="O223" t="s">
        <v>27</v>
      </c>
      <c r="P223" t="s">
        <v>27</v>
      </c>
      <c r="Q223">
        <v>1</v>
      </c>
      <c r="R223" t="s">
        <v>27</v>
      </c>
      <c r="S223" t="s">
        <v>27</v>
      </c>
    </row>
    <row r="224" spans="1:19" x14ac:dyDescent="0.35">
      <c r="A224" t="s">
        <v>495</v>
      </c>
      <c r="B224" t="s">
        <v>496</v>
      </c>
      <c r="C224" t="s">
        <v>21</v>
      </c>
      <c r="D224">
        <v>55</v>
      </c>
      <c r="E224" t="s">
        <v>32</v>
      </c>
      <c r="F224" t="s">
        <v>39</v>
      </c>
      <c r="G224" t="s">
        <v>69</v>
      </c>
      <c r="H224" t="s">
        <v>49</v>
      </c>
      <c r="I224">
        <v>15</v>
      </c>
      <c r="J224">
        <v>59803</v>
      </c>
      <c r="K224" t="s">
        <v>26</v>
      </c>
      <c r="L224">
        <v>5</v>
      </c>
      <c r="M224">
        <v>25</v>
      </c>
      <c r="N224">
        <v>4</v>
      </c>
      <c r="O224" t="s">
        <v>27</v>
      </c>
      <c r="P224" t="s">
        <v>27</v>
      </c>
      <c r="Q224">
        <v>1</v>
      </c>
      <c r="R224" t="s">
        <v>27</v>
      </c>
      <c r="S224" t="s">
        <v>27</v>
      </c>
    </row>
    <row r="225" spans="1:19" x14ac:dyDescent="0.35">
      <c r="A225" t="s">
        <v>497</v>
      </c>
      <c r="B225" t="s">
        <v>498</v>
      </c>
      <c r="C225" t="s">
        <v>31</v>
      </c>
      <c r="D225">
        <v>50</v>
      </c>
      <c r="E225" t="s">
        <v>38</v>
      </c>
      <c r="F225" t="s">
        <v>23</v>
      </c>
      <c r="G225" t="s">
        <v>24</v>
      </c>
      <c r="H225" t="s">
        <v>70</v>
      </c>
      <c r="I225">
        <v>14</v>
      </c>
      <c r="J225">
        <v>72019</v>
      </c>
      <c r="K225" t="s">
        <v>45</v>
      </c>
      <c r="L225">
        <v>7</v>
      </c>
      <c r="M225">
        <v>46</v>
      </c>
      <c r="N225">
        <v>1</v>
      </c>
      <c r="O225" t="s">
        <v>27</v>
      </c>
      <c r="P225" t="s">
        <v>28</v>
      </c>
      <c r="Q225">
        <v>4</v>
      </c>
      <c r="R225" t="s">
        <v>27</v>
      </c>
      <c r="S225" t="s">
        <v>27</v>
      </c>
    </row>
    <row r="226" spans="1:19" x14ac:dyDescent="0.35">
      <c r="A226" t="s">
        <v>499</v>
      </c>
      <c r="B226" t="s">
        <v>500</v>
      </c>
      <c r="C226" t="s">
        <v>21</v>
      </c>
      <c r="D226">
        <v>49</v>
      </c>
      <c r="E226" t="s">
        <v>38</v>
      </c>
      <c r="F226" t="s">
        <v>33</v>
      </c>
      <c r="G226" t="s">
        <v>24</v>
      </c>
      <c r="H226" t="s">
        <v>34</v>
      </c>
      <c r="I226">
        <v>13</v>
      </c>
      <c r="J226">
        <v>65653</v>
      </c>
      <c r="K226" t="s">
        <v>26</v>
      </c>
      <c r="L226">
        <v>4</v>
      </c>
      <c r="M226">
        <v>22</v>
      </c>
      <c r="N226">
        <v>2</v>
      </c>
      <c r="O226" t="s">
        <v>27</v>
      </c>
      <c r="P226" t="s">
        <v>27</v>
      </c>
      <c r="Q226">
        <v>3</v>
      </c>
      <c r="R226" t="s">
        <v>27</v>
      </c>
      <c r="S226" t="s">
        <v>27</v>
      </c>
    </row>
    <row r="227" spans="1:19" x14ac:dyDescent="0.35">
      <c r="A227" t="s">
        <v>501</v>
      </c>
      <c r="B227" t="s">
        <v>502</v>
      </c>
      <c r="C227" t="s">
        <v>31</v>
      </c>
      <c r="D227">
        <v>29</v>
      </c>
      <c r="E227" t="s">
        <v>32</v>
      </c>
      <c r="F227" t="s">
        <v>48</v>
      </c>
      <c r="G227" t="s">
        <v>24</v>
      </c>
      <c r="H227" t="s">
        <v>25</v>
      </c>
      <c r="I227">
        <v>6</v>
      </c>
      <c r="J227">
        <v>47924</v>
      </c>
      <c r="K227" t="s">
        <v>35</v>
      </c>
      <c r="L227">
        <v>4</v>
      </c>
      <c r="M227">
        <v>40</v>
      </c>
      <c r="N227">
        <v>4</v>
      </c>
      <c r="O227" t="s">
        <v>27</v>
      </c>
      <c r="P227" t="s">
        <v>27</v>
      </c>
      <c r="Q227">
        <v>5</v>
      </c>
      <c r="R227" t="s">
        <v>27</v>
      </c>
      <c r="S227" t="s">
        <v>27</v>
      </c>
    </row>
    <row r="228" spans="1:19" x14ac:dyDescent="0.35">
      <c r="A228" t="s">
        <v>503</v>
      </c>
      <c r="B228" t="s">
        <v>504</v>
      </c>
      <c r="C228" t="s">
        <v>21</v>
      </c>
      <c r="D228">
        <v>50</v>
      </c>
      <c r="E228" t="s">
        <v>38</v>
      </c>
      <c r="F228" t="s">
        <v>39</v>
      </c>
      <c r="G228" t="s">
        <v>24</v>
      </c>
      <c r="H228" t="s">
        <v>70</v>
      </c>
      <c r="I228">
        <v>14</v>
      </c>
      <c r="J228">
        <v>66450</v>
      </c>
      <c r="K228" t="s">
        <v>45</v>
      </c>
      <c r="L228">
        <v>8</v>
      </c>
      <c r="M228">
        <v>35</v>
      </c>
      <c r="N228">
        <v>1</v>
      </c>
      <c r="O228" t="s">
        <v>27</v>
      </c>
      <c r="P228" t="s">
        <v>27</v>
      </c>
      <c r="Q228">
        <v>5</v>
      </c>
      <c r="R228" t="s">
        <v>28</v>
      </c>
      <c r="S228" t="s">
        <v>27</v>
      </c>
    </row>
    <row r="229" spans="1:19" x14ac:dyDescent="0.35">
      <c r="A229" t="s">
        <v>505</v>
      </c>
      <c r="B229" t="s">
        <v>506</v>
      </c>
      <c r="C229" t="s">
        <v>21</v>
      </c>
      <c r="D229">
        <v>30</v>
      </c>
      <c r="E229" t="s">
        <v>55</v>
      </c>
      <c r="F229" t="s">
        <v>64</v>
      </c>
      <c r="G229" t="s">
        <v>24</v>
      </c>
      <c r="H229" t="s">
        <v>70</v>
      </c>
      <c r="I229">
        <v>7</v>
      </c>
      <c r="J229">
        <v>69756</v>
      </c>
      <c r="K229" t="s">
        <v>26</v>
      </c>
      <c r="L229">
        <v>5</v>
      </c>
      <c r="M229">
        <v>38</v>
      </c>
      <c r="N229">
        <v>5</v>
      </c>
      <c r="O229" t="s">
        <v>27</v>
      </c>
      <c r="P229" t="s">
        <v>28</v>
      </c>
      <c r="Q229">
        <v>3</v>
      </c>
      <c r="R229" t="s">
        <v>27</v>
      </c>
      <c r="S229" t="s">
        <v>27</v>
      </c>
    </row>
    <row r="230" spans="1:19" x14ac:dyDescent="0.35">
      <c r="A230" t="s">
        <v>507</v>
      </c>
      <c r="B230" t="s">
        <v>508</v>
      </c>
      <c r="C230" t="s">
        <v>21</v>
      </c>
      <c r="D230">
        <v>33</v>
      </c>
      <c r="E230" t="s">
        <v>55</v>
      </c>
      <c r="F230" t="s">
        <v>33</v>
      </c>
      <c r="G230" t="s">
        <v>24</v>
      </c>
      <c r="H230" t="s">
        <v>61</v>
      </c>
      <c r="I230">
        <v>8</v>
      </c>
      <c r="J230">
        <v>54979</v>
      </c>
      <c r="K230" t="s">
        <v>45</v>
      </c>
      <c r="L230">
        <v>6</v>
      </c>
      <c r="M230">
        <v>23</v>
      </c>
      <c r="N230">
        <v>3</v>
      </c>
      <c r="O230" t="s">
        <v>27</v>
      </c>
      <c r="P230" t="s">
        <v>27</v>
      </c>
      <c r="Q230">
        <v>1</v>
      </c>
      <c r="R230" t="s">
        <v>28</v>
      </c>
      <c r="S230" t="s">
        <v>27</v>
      </c>
    </row>
    <row r="231" spans="1:19" x14ac:dyDescent="0.35">
      <c r="A231" t="s">
        <v>509</v>
      </c>
      <c r="B231" t="s">
        <v>510</v>
      </c>
      <c r="C231" t="s">
        <v>31</v>
      </c>
      <c r="D231">
        <v>49</v>
      </c>
      <c r="E231" t="s">
        <v>55</v>
      </c>
      <c r="F231" t="s">
        <v>64</v>
      </c>
      <c r="G231" t="s">
        <v>24</v>
      </c>
      <c r="H231" t="s">
        <v>70</v>
      </c>
      <c r="I231">
        <v>23</v>
      </c>
      <c r="J231">
        <v>62235</v>
      </c>
      <c r="K231" t="s">
        <v>45</v>
      </c>
      <c r="L231">
        <v>6</v>
      </c>
      <c r="M231">
        <v>37</v>
      </c>
      <c r="N231">
        <v>5</v>
      </c>
      <c r="O231" t="s">
        <v>28</v>
      </c>
      <c r="P231" t="s">
        <v>27</v>
      </c>
      <c r="Q231">
        <v>1</v>
      </c>
      <c r="R231" t="s">
        <v>27</v>
      </c>
      <c r="S231" t="s">
        <v>27</v>
      </c>
    </row>
    <row r="232" spans="1:19" x14ac:dyDescent="0.35">
      <c r="A232" t="s">
        <v>511</v>
      </c>
      <c r="B232" t="s">
        <v>512</v>
      </c>
      <c r="C232" t="s">
        <v>31</v>
      </c>
      <c r="D232">
        <v>34</v>
      </c>
      <c r="E232" t="s">
        <v>55</v>
      </c>
      <c r="F232" t="s">
        <v>48</v>
      </c>
      <c r="G232" t="s">
        <v>24</v>
      </c>
      <c r="H232" t="s">
        <v>49</v>
      </c>
      <c r="I232">
        <v>8</v>
      </c>
      <c r="J232">
        <v>52132</v>
      </c>
      <c r="K232" t="s">
        <v>45</v>
      </c>
      <c r="L232">
        <v>9</v>
      </c>
      <c r="M232">
        <v>45</v>
      </c>
      <c r="N232">
        <v>4</v>
      </c>
      <c r="O232" t="s">
        <v>28</v>
      </c>
      <c r="P232" t="s">
        <v>28</v>
      </c>
      <c r="Q232">
        <v>3</v>
      </c>
      <c r="R232" t="s">
        <v>27</v>
      </c>
      <c r="S232" t="s">
        <v>27</v>
      </c>
    </row>
    <row r="233" spans="1:19" x14ac:dyDescent="0.35">
      <c r="A233" t="s">
        <v>513</v>
      </c>
      <c r="B233" t="s">
        <v>514</v>
      </c>
      <c r="C233" t="s">
        <v>21</v>
      </c>
      <c r="D233">
        <v>44</v>
      </c>
      <c r="E233" t="s">
        <v>38</v>
      </c>
      <c r="F233" t="s">
        <v>43</v>
      </c>
      <c r="G233" t="s">
        <v>69</v>
      </c>
      <c r="H233" t="s">
        <v>131</v>
      </c>
      <c r="I233">
        <v>11</v>
      </c>
      <c r="J233">
        <v>82000</v>
      </c>
      <c r="K233" t="s">
        <v>45</v>
      </c>
      <c r="L233">
        <v>8</v>
      </c>
      <c r="M233">
        <v>14</v>
      </c>
      <c r="N233">
        <v>4</v>
      </c>
      <c r="O233" t="s">
        <v>28</v>
      </c>
      <c r="P233" t="s">
        <v>28</v>
      </c>
      <c r="Q233">
        <v>5</v>
      </c>
      <c r="R233" t="s">
        <v>27</v>
      </c>
      <c r="S233" t="s">
        <v>27</v>
      </c>
    </row>
    <row r="234" spans="1:19" x14ac:dyDescent="0.35">
      <c r="A234" t="s">
        <v>515</v>
      </c>
      <c r="B234" t="s">
        <v>516</v>
      </c>
      <c r="C234" t="s">
        <v>31</v>
      </c>
      <c r="D234">
        <v>53</v>
      </c>
      <c r="E234" t="s">
        <v>38</v>
      </c>
      <c r="F234" t="s">
        <v>43</v>
      </c>
      <c r="G234" t="s">
        <v>69</v>
      </c>
      <c r="H234" t="s">
        <v>61</v>
      </c>
      <c r="I234">
        <v>13</v>
      </c>
      <c r="J234">
        <v>64731</v>
      </c>
      <c r="K234" t="s">
        <v>26</v>
      </c>
      <c r="L234">
        <v>2</v>
      </c>
      <c r="M234">
        <v>33</v>
      </c>
      <c r="N234">
        <v>3</v>
      </c>
      <c r="O234" t="s">
        <v>27</v>
      </c>
      <c r="P234" t="s">
        <v>27</v>
      </c>
      <c r="Q234">
        <v>1</v>
      </c>
      <c r="R234" t="s">
        <v>28</v>
      </c>
      <c r="S234" t="s">
        <v>27</v>
      </c>
    </row>
    <row r="235" spans="1:19" x14ac:dyDescent="0.35">
      <c r="A235" t="s">
        <v>517</v>
      </c>
      <c r="B235" t="s">
        <v>518</v>
      </c>
      <c r="C235" t="s">
        <v>21</v>
      </c>
      <c r="D235">
        <v>26</v>
      </c>
      <c r="E235" t="s">
        <v>55</v>
      </c>
      <c r="F235" t="s">
        <v>39</v>
      </c>
      <c r="G235" t="s">
        <v>24</v>
      </c>
      <c r="H235" t="s">
        <v>52</v>
      </c>
      <c r="I235">
        <v>4</v>
      </c>
      <c r="J235">
        <v>44966</v>
      </c>
      <c r="K235" t="s">
        <v>45</v>
      </c>
      <c r="L235">
        <v>4</v>
      </c>
      <c r="M235">
        <v>60</v>
      </c>
      <c r="N235">
        <v>6</v>
      </c>
      <c r="O235" t="s">
        <v>28</v>
      </c>
      <c r="P235" t="s">
        <v>27</v>
      </c>
      <c r="Q235">
        <v>5</v>
      </c>
      <c r="R235" t="s">
        <v>27</v>
      </c>
      <c r="S235" t="s">
        <v>27</v>
      </c>
    </row>
    <row r="236" spans="1:19" x14ac:dyDescent="0.35">
      <c r="A236" t="s">
        <v>519</v>
      </c>
      <c r="B236" t="s">
        <v>520</v>
      </c>
      <c r="C236" t="s">
        <v>21</v>
      </c>
      <c r="D236">
        <v>47</v>
      </c>
      <c r="E236" t="s">
        <v>55</v>
      </c>
      <c r="F236" t="s">
        <v>60</v>
      </c>
      <c r="G236" t="s">
        <v>69</v>
      </c>
      <c r="H236" t="s">
        <v>61</v>
      </c>
      <c r="I236">
        <v>10</v>
      </c>
      <c r="J236">
        <v>65525</v>
      </c>
      <c r="K236" t="s">
        <v>45</v>
      </c>
      <c r="L236">
        <v>6</v>
      </c>
      <c r="M236">
        <v>31</v>
      </c>
      <c r="N236">
        <v>3</v>
      </c>
      <c r="O236" t="s">
        <v>27</v>
      </c>
      <c r="P236" t="s">
        <v>28</v>
      </c>
      <c r="Q236">
        <v>5</v>
      </c>
      <c r="R236" t="s">
        <v>27</v>
      </c>
      <c r="S236" t="s">
        <v>27</v>
      </c>
    </row>
    <row r="237" spans="1:19" x14ac:dyDescent="0.35">
      <c r="A237" t="s">
        <v>521</v>
      </c>
      <c r="B237" t="s">
        <v>522</v>
      </c>
      <c r="C237" t="s">
        <v>31</v>
      </c>
      <c r="D237">
        <v>21</v>
      </c>
      <c r="E237" t="s">
        <v>38</v>
      </c>
      <c r="F237" t="s">
        <v>39</v>
      </c>
      <c r="G237" t="s">
        <v>24</v>
      </c>
      <c r="H237" t="s">
        <v>52</v>
      </c>
      <c r="I237">
        <v>0</v>
      </c>
      <c r="J237">
        <v>48697</v>
      </c>
      <c r="K237" t="s">
        <v>40</v>
      </c>
      <c r="L237">
        <v>8</v>
      </c>
      <c r="M237">
        <v>38</v>
      </c>
      <c r="N237">
        <v>6</v>
      </c>
      <c r="O237" t="s">
        <v>27</v>
      </c>
      <c r="P237" t="s">
        <v>28</v>
      </c>
      <c r="Q237">
        <v>5</v>
      </c>
      <c r="R237" t="s">
        <v>27</v>
      </c>
      <c r="S237" t="s">
        <v>27</v>
      </c>
    </row>
    <row r="238" spans="1:19" x14ac:dyDescent="0.35">
      <c r="A238" t="s">
        <v>523</v>
      </c>
      <c r="B238" t="s">
        <v>524</v>
      </c>
      <c r="C238" t="s">
        <v>21</v>
      </c>
      <c r="D238">
        <v>43</v>
      </c>
      <c r="E238" t="s">
        <v>22</v>
      </c>
      <c r="F238" t="s">
        <v>39</v>
      </c>
      <c r="G238" t="s">
        <v>24</v>
      </c>
      <c r="H238" t="s">
        <v>34</v>
      </c>
      <c r="I238">
        <v>18</v>
      </c>
      <c r="J238">
        <v>61361</v>
      </c>
      <c r="K238" t="s">
        <v>45</v>
      </c>
      <c r="L238">
        <v>4</v>
      </c>
      <c r="M238">
        <v>41</v>
      </c>
      <c r="N238">
        <v>4</v>
      </c>
      <c r="O238" t="s">
        <v>27</v>
      </c>
      <c r="P238" t="s">
        <v>27</v>
      </c>
      <c r="Q238">
        <v>3</v>
      </c>
      <c r="R238" t="s">
        <v>27</v>
      </c>
      <c r="S238" t="s">
        <v>27</v>
      </c>
    </row>
    <row r="239" spans="1:19" x14ac:dyDescent="0.35">
      <c r="A239" t="s">
        <v>525</v>
      </c>
      <c r="B239" t="s">
        <v>526</v>
      </c>
      <c r="C239" t="s">
        <v>31</v>
      </c>
      <c r="D239">
        <v>49</v>
      </c>
      <c r="E239" t="s">
        <v>55</v>
      </c>
      <c r="F239" t="s">
        <v>43</v>
      </c>
      <c r="G239" t="s">
        <v>24</v>
      </c>
      <c r="H239" t="s">
        <v>25</v>
      </c>
      <c r="I239">
        <v>20</v>
      </c>
      <c r="J239">
        <v>82000</v>
      </c>
      <c r="K239" t="s">
        <v>26</v>
      </c>
      <c r="L239">
        <v>1</v>
      </c>
      <c r="M239">
        <v>26</v>
      </c>
      <c r="N239">
        <v>3</v>
      </c>
      <c r="O239" t="s">
        <v>28</v>
      </c>
      <c r="P239" t="s">
        <v>28</v>
      </c>
      <c r="Q239">
        <v>5</v>
      </c>
      <c r="R239" t="s">
        <v>28</v>
      </c>
      <c r="S239" t="s">
        <v>27</v>
      </c>
    </row>
    <row r="240" spans="1:19" x14ac:dyDescent="0.35">
      <c r="A240" t="s">
        <v>527</v>
      </c>
      <c r="B240" t="s">
        <v>528</v>
      </c>
      <c r="C240" t="s">
        <v>21</v>
      </c>
      <c r="D240">
        <v>45</v>
      </c>
      <c r="E240" t="s">
        <v>55</v>
      </c>
      <c r="F240" t="s">
        <v>33</v>
      </c>
      <c r="G240" t="s">
        <v>24</v>
      </c>
      <c r="H240" t="s">
        <v>34</v>
      </c>
      <c r="I240">
        <v>15</v>
      </c>
      <c r="J240">
        <v>58388</v>
      </c>
      <c r="K240" t="s">
        <v>45</v>
      </c>
      <c r="L240">
        <v>10</v>
      </c>
      <c r="M240">
        <v>16</v>
      </c>
      <c r="N240">
        <v>4</v>
      </c>
      <c r="O240" t="s">
        <v>27</v>
      </c>
      <c r="P240" t="s">
        <v>28</v>
      </c>
      <c r="Q240">
        <v>4</v>
      </c>
      <c r="R240" t="s">
        <v>27</v>
      </c>
      <c r="S240" t="s">
        <v>27</v>
      </c>
    </row>
    <row r="241" spans="1:19" x14ac:dyDescent="0.35">
      <c r="A241" t="s">
        <v>529</v>
      </c>
      <c r="B241" t="s">
        <v>530</v>
      </c>
      <c r="C241" t="s">
        <v>31</v>
      </c>
      <c r="D241">
        <v>27</v>
      </c>
      <c r="E241" t="s">
        <v>38</v>
      </c>
      <c r="F241" t="s">
        <v>48</v>
      </c>
      <c r="G241" t="s">
        <v>69</v>
      </c>
      <c r="H241" t="s">
        <v>131</v>
      </c>
      <c r="I241">
        <v>4</v>
      </c>
      <c r="J241">
        <v>44443</v>
      </c>
      <c r="K241" t="s">
        <v>35</v>
      </c>
      <c r="L241">
        <v>10</v>
      </c>
      <c r="M241">
        <v>39</v>
      </c>
      <c r="N241">
        <v>5</v>
      </c>
      <c r="O241" t="s">
        <v>28</v>
      </c>
      <c r="P241" t="s">
        <v>28</v>
      </c>
      <c r="Q241">
        <v>5</v>
      </c>
      <c r="R241" t="s">
        <v>28</v>
      </c>
      <c r="S241" t="s">
        <v>27</v>
      </c>
    </row>
    <row r="242" spans="1:19" x14ac:dyDescent="0.35">
      <c r="A242" t="s">
        <v>531</v>
      </c>
      <c r="B242" t="s">
        <v>532</v>
      </c>
      <c r="C242" t="s">
        <v>21</v>
      </c>
      <c r="D242">
        <v>29</v>
      </c>
      <c r="E242" t="s">
        <v>55</v>
      </c>
      <c r="F242" t="s">
        <v>33</v>
      </c>
      <c r="G242" t="s">
        <v>24</v>
      </c>
      <c r="H242" t="s">
        <v>70</v>
      </c>
      <c r="I242">
        <v>4</v>
      </c>
      <c r="J242">
        <v>57680</v>
      </c>
      <c r="K242" t="s">
        <v>26</v>
      </c>
      <c r="L242">
        <v>5</v>
      </c>
      <c r="M242">
        <v>39</v>
      </c>
      <c r="N242">
        <v>5</v>
      </c>
      <c r="O242" t="s">
        <v>28</v>
      </c>
      <c r="P242" t="s">
        <v>28</v>
      </c>
      <c r="Q242">
        <v>3</v>
      </c>
      <c r="R242" t="s">
        <v>28</v>
      </c>
      <c r="S242" t="s">
        <v>27</v>
      </c>
    </row>
    <row r="243" spans="1:19" x14ac:dyDescent="0.35">
      <c r="A243" t="s">
        <v>533</v>
      </c>
      <c r="B243" t="s">
        <v>534</v>
      </c>
      <c r="C243" t="s">
        <v>31</v>
      </c>
      <c r="D243">
        <v>25</v>
      </c>
      <c r="E243" t="s">
        <v>22</v>
      </c>
      <c r="F243" t="s">
        <v>43</v>
      </c>
      <c r="G243" t="s">
        <v>69</v>
      </c>
      <c r="H243" t="s">
        <v>34</v>
      </c>
      <c r="I243">
        <v>2</v>
      </c>
      <c r="J243">
        <v>61455</v>
      </c>
      <c r="K243" t="s">
        <v>45</v>
      </c>
      <c r="L243">
        <v>6</v>
      </c>
      <c r="M243">
        <v>36</v>
      </c>
      <c r="N243">
        <v>2</v>
      </c>
      <c r="O243" t="s">
        <v>27</v>
      </c>
      <c r="P243" t="s">
        <v>28</v>
      </c>
      <c r="Q243">
        <v>3</v>
      </c>
      <c r="R243" t="s">
        <v>27</v>
      </c>
      <c r="S243" t="s">
        <v>27</v>
      </c>
    </row>
    <row r="244" spans="1:19" x14ac:dyDescent="0.35">
      <c r="A244" t="s">
        <v>535</v>
      </c>
      <c r="B244" t="s">
        <v>536</v>
      </c>
      <c r="C244" t="s">
        <v>31</v>
      </c>
      <c r="D244">
        <v>26</v>
      </c>
      <c r="E244" t="s">
        <v>55</v>
      </c>
      <c r="F244" t="s">
        <v>33</v>
      </c>
      <c r="G244" t="s">
        <v>24</v>
      </c>
      <c r="H244" t="s">
        <v>52</v>
      </c>
      <c r="I244">
        <v>3</v>
      </c>
      <c r="J244">
        <v>54134</v>
      </c>
      <c r="K244" t="s">
        <v>45</v>
      </c>
      <c r="L244">
        <v>2</v>
      </c>
      <c r="M244">
        <v>22</v>
      </c>
      <c r="N244">
        <v>6</v>
      </c>
      <c r="O244" t="s">
        <v>27</v>
      </c>
      <c r="P244" t="s">
        <v>28</v>
      </c>
      <c r="Q244">
        <v>5</v>
      </c>
      <c r="R244" t="s">
        <v>27</v>
      </c>
      <c r="S244" t="s">
        <v>28</v>
      </c>
    </row>
    <row r="245" spans="1:19" x14ac:dyDescent="0.35">
      <c r="A245" t="s">
        <v>537</v>
      </c>
      <c r="B245" t="s">
        <v>538</v>
      </c>
      <c r="C245" t="s">
        <v>31</v>
      </c>
      <c r="D245">
        <v>21</v>
      </c>
      <c r="E245" t="s">
        <v>55</v>
      </c>
      <c r="F245" t="s">
        <v>33</v>
      </c>
      <c r="G245" t="s">
        <v>69</v>
      </c>
      <c r="H245" t="s">
        <v>52</v>
      </c>
      <c r="I245">
        <v>0</v>
      </c>
      <c r="J245">
        <v>42090</v>
      </c>
      <c r="K245" t="s">
        <v>45</v>
      </c>
      <c r="L245">
        <v>1</v>
      </c>
      <c r="M245">
        <v>17</v>
      </c>
      <c r="N245">
        <v>7</v>
      </c>
      <c r="O245" t="s">
        <v>27</v>
      </c>
      <c r="P245" t="s">
        <v>28</v>
      </c>
      <c r="Q245">
        <v>3</v>
      </c>
      <c r="R245" t="s">
        <v>28</v>
      </c>
      <c r="S245" t="s">
        <v>27</v>
      </c>
    </row>
    <row r="246" spans="1:19" x14ac:dyDescent="0.35">
      <c r="A246" t="s">
        <v>539</v>
      </c>
      <c r="B246" t="s">
        <v>540</v>
      </c>
      <c r="C246" t="s">
        <v>21</v>
      </c>
      <c r="D246">
        <v>31</v>
      </c>
      <c r="E246" t="s">
        <v>55</v>
      </c>
      <c r="F246" t="s">
        <v>33</v>
      </c>
      <c r="G246" t="s">
        <v>69</v>
      </c>
      <c r="H246" t="s">
        <v>61</v>
      </c>
      <c r="I246">
        <v>8</v>
      </c>
      <c r="J246">
        <v>55844</v>
      </c>
      <c r="K246" t="s">
        <v>35</v>
      </c>
      <c r="L246">
        <v>6</v>
      </c>
      <c r="M246">
        <v>42</v>
      </c>
      <c r="N246">
        <v>7</v>
      </c>
      <c r="O246" t="s">
        <v>28</v>
      </c>
      <c r="P246" t="s">
        <v>28</v>
      </c>
      <c r="Q246">
        <v>5</v>
      </c>
      <c r="R246" t="s">
        <v>27</v>
      </c>
      <c r="S246" t="s">
        <v>27</v>
      </c>
    </row>
    <row r="247" spans="1:19" x14ac:dyDescent="0.35">
      <c r="A247" t="s">
        <v>541</v>
      </c>
      <c r="B247" t="s">
        <v>542</v>
      </c>
      <c r="C247" t="s">
        <v>31</v>
      </c>
      <c r="D247">
        <v>37</v>
      </c>
      <c r="E247" t="s">
        <v>38</v>
      </c>
      <c r="F247" t="s">
        <v>33</v>
      </c>
      <c r="G247" t="s">
        <v>24</v>
      </c>
      <c r="H247" t="s">
        <v>70</v>
      </c>
      <c r="I247">
        <v>6</v>
      </c>
      <c r="J247">
        <v>58728</v>
      </c>
      <c r="K247" t="s">
        <v>26</v>
      </c>
      <c r="L247">
        <v>5</v>
      </c>
      <c r="M247">
        <v>12</v>
      </c>
      <c r="N247">
        <v>6</v>
      </c>
      <c r="O247" t="s">
        <v>27</v>
      </c>
      <c r="P247" t="s">
        <v>28</v>
      </c>
      <c r="Q247">
        <v>1</v>
      </c>
      <c r="R247" t="s">
        <v>27</v>
      </c>
      <c r="S247" t="s">
        <v>27</v>
      </c>
    </row>
    <row r="248" spans="1:19" x14ac:dyDescent="0.35">
      <c r="A248" t="s">
        <v>543</v>
      </c>
      <c r="B248" t="s">
        <v>544</v>
      </c>
      <c r="C248" t="s">
        <v>31</v>
      </c>
      <c r="D248">
        <v>44</v>
      </c>
      <c r="E248" t="s">
        <v>38</v>
      </c>
      <c r="F248" t="s">
        <v>39</v>
      </c>
      <c r="G248" t="s">
        <v>24</v>
      </c>
      <c r="H248" t="s">
        <v>25</v>
      </c>
      <c r="I248">
        <v>16</v>
      </c>
      <c r="J248">
        <v>58141</v>
      </c>
      <c r="K248" t="s">
        <v>45</v>
      </c>
      <c r="L248">
        <v>6</v>
      </c>
      <c r="M248">
        <v>38</v>
      </c>
      <c r="N248">
        <v>4</v>
      </c>
      <c r="O248" t="s">
        <v>27</v>
      </c>
      <c r="P248" t="s">
        <v>28</v>
      </c>
      <c r="Q248">
        <v>3</v>
      </c>
      <c r="R248" t="s">
        <v>28</v>
      </c>
      <c r="S248" t="s">
        <v>27</v>
      </c>
    </row>
    <row r="249" spans="1:19" x14ac:dyDescent="0.35">
      <c r="A249" t="s">
        <v>545</v>
      </c>
      <c r="B249" t="s">
        <v>546</v>
      </c>
      <c r="C249" t="s">
        <v>31</v>
      </c>
      <c r="D249">
        <v>27</v>
      </c>
      <c r="E249" t="s">
        <v>38</v>
      </c>
      <c r="F249" t="s">
        <v>64</v>
      </c>
      <c r="G249" t="s">
        <v>69</v>
      </c>
      <c r="H249" t="s">
        <v>49</v>
      </c>
      <c r="I249">
        <v>4</v>
      </c>
      <c r="J249">
        <v>57462</v>
      </c>
      <c r="K249" t="s">
        <v>26</v>
      </c>
      <c r="L249">
        <v>3</v>
      </c>
      <c r="M249">
        <v>36</v>
      </c>
      <c r="N249">
        <v>3</v>
      </c>
      <c r="O249" t="s">
        <v>27</v>
      </c>
      <c r="P249" t="s">
        <v>28</v>
      </c>
      <c r="Q249">
        <v>1</v>
      </c>
      <c r="R249" t="s">
        <v>27</v>
      </c>
      <c r="S249" t="s">
        <v>27</v>
      </c>
    </row>
    <row r="250" spans="1:19" x14ac:dyDescent="0.35">
      <c r="A250" t="s">
        <v>547</v>
      </c>
      <c r="B250" t="s">
        <v>548</v>
      </c>
      <c r="C250" t="s">
        <v>21</v>
      </c>
      <c r="D250">
        <v>43</v>
      </c>
      <c r="E250" t="s">
        <v>55</v>
      </c>
      <c r="F250" t="s">
        <v>64</v>
      </c>
      <c r="G250" t="s">
        <v>24</v>
      </c>
      <c r="H250" t="s">
        <v>70</v>
      </c>
      <c r="I250">
        <v>14</v>
      </c>
      <c r="J250">
        <v>75261</v>
      </c>
      <c r="K250" t="s">
        <v>45</v>
      </c>
      <c r="L250">
        <v>6</v>
      </c>
      <c r="M250">
        <v>34</v>
      </c>
      <c r="N250">
        <v>3</v>
      </c>
      <c r="O250" t="s">
        <v>28</v>
      </c>
      <c r="P250" t="s">
        <v>28</v>
      </c>
      <c r="Q250">
        <v>2</v>
      </c>
      <c r="R250" t="s">
        <v>28</v>
      </c>
      <c r="S250" t="s">
        <v>27</v>
      </c>
    </row>
    <row r="251" spans="1:19" x14ac:dyDescent="0.35">
      <c r="A251" t="s">
        <v>549</v>
      </c>
      <c r="B251" t="s">
        <v>550</v>
      </c>
      <c r="C251" t="s">
        <v>31</v>
      </c>
      <c r="D251">
        <v>44</v>
      </c>
      <c r="E251" t="s">
        <v>38</v>
      </c>
      <c r="F251" t="s">
        <v>23</v>
      </c>
      <c r="G251" t="s">
        <v>24</v>
      </c>
      <c r="H251" t="s">
        <v>49</v>
      </c>
      <c r="I251">
        <v>9</v>
      </c>
      <c r="J251">
        <v>73355</v>
      </c>
      <c r="K251" t="s">
        <v>45</v>
      </c>
      <c r="L251">
        <v>10</v>
      </c>
      <c r="M251">
        <v>27</v>
      </c>
      <c r="N251">
        <v>5</v>
      </c>
      <c r="O251" t="s">
        <v>27</v>
      </c>
      <c r="P251" t="s">
        <v>28</v>
      </c>
      <c r="Q251">
        <v>3</v>
      </c>
      <c r="R251" t="s">
        <v>27</v>
      </c>
      <c r="S251" t="s">
        <v>27</v>
      </c>
    </row>
    <row r="252" spans="1:19" x14ac:dyDescent="0.35">
      <c r="A252" t="s">
        <v>551</v>
      </c>
      <c r="B252" t="s">
        <v>552</v>
      </c>
      <c r="C252" t="s">
        <v>31</v>
      </c>
      <c r="D252">
        <v>50</v>
      </c>
      <c r="E252" t="s">
        <v>55</v>
      </c>
      <c r="F252" t="s">
        <v>48</v>
      </c>
      <c r="G252" t="s">
        <v>24</v>
      </c>
      <c r="H252" t="s">
        <v>131</v>
      </c>
      <c r="I252">
        <v>10</v>
      </c>
      <c r="J252">
        <v>53112</v>
      </c>
      <c r="K252" t="s">
        <v>45</v>
      </c>
      <c r="L252">
        <v>5</v>
      </c>
      <c r="M252">
        <v>42</v>
      </c>
      <c r="N252">
        <v>8</v>
      </c>
      <c r="O252" t="s">
        <v>27</v>
      </c>
      <c r="P252" t="s">
        <v>27</v>
      </c>
      <c r="Q252">
        <v>2</v>
      </c>
      <c r="R252" t="s">
        <v>28</v>
      </c>
      <c r="S252" t="s">
        <v>28</v>
      </c>
    </row>
    <row r="253" spans="1:19" x14ac:dyDescent="0.35">
      <c r="A253" t="s">
        <v>553</v>
      </c>
      <c r="B253" t="s">
        <v>554</v>
      </c>
      <c r="C253" t="s">
        <v>21</v>
      </c>
      <c r="D253">
        <v>54</v>
      </c>
      <c r="E253" t="s">
        <v>55</v>
      </c>
      <c r="F253" t="s">
        <v>33</v>
      </c>
      <c r="G253" t="s">
        <v>24</v>
      </c>
      <c r="H253" t="s">
        <v>25</v>
      </c>
      <c r="I253">
        <v>23</v>
      </c>
      <c r="J253">
        <v>61204</v>
      </c>
      <c r="K253" t="s">
        <v>45</v>
      </c>
      <c r="L253">
        <v>3</v>
      </c>
      <c r="M253">
        <v>25</v>
      </c>
      <c r="N253">
        <v>2</v>
      </c>
      <c r="O253" t="s">
        <v>27</v>
      </c>
      <c r="P253" t="s">
        <v>28</v>
      </c>
      <c r="Q253">
        <v>1</v>
      </c>
      <c r="R253" t="s">
        <v>28</v>
      </c>
      <c r="S253" t="s">
        <v>27</v>
      </c>
    </row>
    <row r="254" spans="1:19" x14ac:dyDescent="0.35">
      <c r="A254" t="s">
        <v>555</v>
      </c>
      <c r="B254" t="s">
        <v>556</v>
      </c>
      <c r="C254" t="s">
        <v>21</v>
      </c>
      <c r="D254">
        <v>48</v>
      </c>
      <c r="E254" t="s">
        <v>55</v>
      </c>
      <c r="F254" t="s">
        <v>33</v>
      </c>
      <c r="G254" t="s">
        <v>24</v>
      </c>
      <c r="H254" t="s">
        <v>25</v>
      </c>
      <c r="I254">
        <v>21</v>
      </c>
      <c r="J254">
        <v>79354</v>
      </c>
      <c r="K254" t="s">
        <v>45</v>
      </c>
      <c r="L254">
        <v>2</v>
      </c>
      <c r="M254">
        <v>32</v>
      </c>
      <c r="N254">
        <v>7</v>
      </c>
      <c r="O254" t="s">
        <v>28</v>
      </c>
      <c r="P254" t="s">
        <v>28</v>
      </c>
      <c r="Q254">
        <v>2</v>
      </c>
      <c r="R254" t="s">
        <v>27</v>
      </c>
      <c r="S254" t="s">
        <v>27</v>
      </c>
    </row>
    <row r="255" spans="1:19" x14ac:dyDescent="0.35">
      <c r="A255" t="s">
        <v>557</v>
      </c>
      <c r="B255" t="s">
        <v>558</v>
      </c>
      <c r="C255" t="s">
        <v>31</v>
      </c>
      <c r="D255">
        <v>28</v>
      </c>
      <c r="E255" t="s">
        <v>38</v>
      </c>
      <c r="F255" t="s">
        <v>23</v>
      </c>
      <c r="G255" t="s">
        <v>24</v>
      </c>
      <c r="H255" t="s">
        <v>25</v>
      </c>
      <c r="I255">
        <v>6</v>
      </c>
      <c r="J255">
        <v>56421</v>
      </c>
      <c r="K255" t="s">
        <v>35</v>
      </c>
      <c r="L255">
        <v>6</v>
      </c>
      <c r="M255">
        <v>52</v>
      </c>
      <c r="N255">
        <v>1</v>
      </c>
      <c r="O255" t="s">
        <v>28</v>
      </c>
      <c r="P255" t="s">
        <v>28</v>
      </c>
      <c r="Q255">
        <v>4</v>
      </c>
      <c r="R255" t="s">
        <v>27</v>
      </c>
      <c r="S255" t="s">
        <v>27</v>
      </c>
    </row>
    <row r="256" spans="1:19" x14ac:dyDescent="0.35">
      <c r="A256" t="s">
        <v>559</v>
      </c>
      <c r="B256" t="s">
        <v>560</v>
      </c>
      <c r="C256" t="s">
        <v>31</v>
      </c>
      <c r="D256">
        <v>27</v>
      </c>
      <c r="E256" t="s">
        <v>55</v>
      </c>
      <c r="F256" t="s">
        <v>64</v>
      </c>
      <c r="G256" t="s">
        <v>24</v>
      </c>
      <c r="H256" t="s">
        <v>52</v>
      </c>
      <c r="I256">
        <v>4</v>
      </c>
      <c r="J256">
        <v>57062</v>
      </c>
      <c r="K256" t="s">
        <v>35</v>
      </c>
      <c r="L256">
        <v>3</v>
      </c>
      <c r="M256">
        <v>28</v>
      </c>
      <c r="N256">
        <v>4</v>
      </c>
      <c r="O256" t="s">
        <v>28</v>
      </c>
      <c r="P256" t="s">
        <v>28</v>
      </c>
      <c r="Q256">
        <v>2</v>
      </c>
      <c r="R256" t="s">
        <v>28</v>
      </c>
      <c r="S256" t="s">
        <v>27</v>
      </c>
    </row>
    <row r="257" spans="1:19" x14ac:dyDescent="0.35">
      <c r="A257" t="s">
        <v>561</v>
      </c>
      <c r="B257" t="s">
        <v>562</v>
      </c>
      <c r="C257" t="s">
        <v>21</v>
      </c>
      <c r="D257">
        <v>55</v>
      </c>
      <c r="E257" t="s">
        <v>22</v>
      </c>
      <c r="F257" t="s">
        <v>23</v>
      </c>
      <c r="G257" t="s">
        <v>24</v>
      </c>
      <c r="H257" t="s">
        <v>52</v>
      </c>
      <c r="I257">
        <v>24</v>
      </c>
      <c r="J257">
        <v>68415</v>
      </c>
      <c r="K257" t="s">
        <v>45</v>
      </c>
      <c r="L257">
        <v>8</v>
      </c>
      <c r="M257">
        <v>50</v>
      </c>
      <c r="N257">
        <v>2</v>
      </c>
      <c r="O257" t="s">
        <v>27</v>
      </c>
      <c r="P257" t="s">
        <v>27</v>
      </c>
      <c r="Q257">
        <v>2</v>
      </c>
      <c r="R257" t="s">
        <v>27</v>
      </c>
      <c r="S257" t="s">
        <v>27</v>
      </c>
    </row>
    <row r="258" spans="1:19" x14ac:dyDescent="0.35">
      <c r="A258" t="s">
        <v>563</v>
      </c>
      <c r="B258" t="s">
        <v>564</v>
      </c>
      <c r="C258" t="s">
        <v>21</v>
      </c>
      <c r="D258">
        <v>46</v>
      </c>
      <c r="E258" t="s">
        <v>55</v>
      </c>
      <c r="F258" t="s">
        <v>48</v>
      </c>
      <c r="G258" t="s">
        <v>24</v>
      </c>
      <c r="H258" t="s">
        <v>34</v>
      </c>
      <c r="I258">
        <v>20</v>
      </c>
      <c r="J258">
        <v>63485</v>
      </c>
      <c r="K258" t="s">
        <v>45</v>
      </c>
      <c r="L258">
        <v>4</v>
      </c>
      <c r="M258">
        <v>53</v>
      </c>
      <c r="N258">
        <v>2</v>
      </c>
      <c r="O258" t="s">
        <v>28</v>
      </c>
      <c r="P258" t="s">
        <v>28</v>
      </c>
      <c r="Q258">
        <v>5</v>
      </c>
      <c r="R258" t="s">
        <v>27</v>
      </c>
      <c r="S258" t="s">
        <v>27</v>
      </c>
    </row>
    <row r="259" spans="1:19" x14ac:dyDescent="0.35">
      <c r="A259" t="s">
        <v>565</v>
      </c>
      <c r="B259" t="s">
        <v>566</v>
      </c>
      <c r="C259" t="s">
        <v>31</v>
      </c>
      <c r="D259">
        <v>55</v>
      </c>
      <c r="E259" t="s">
        <v>55</v>
      </c>
      <c r="F259" t="s">
        <v>23</v>
      </c>
      <c r="G259" t="s">
        <v>24</v>
      </c>
      <c r="H259" t="s">
        <v>25</v>
      </c>
      <c r="I259">
        <v>18</v>
      </c>
      <c r="J259">
        <v>80889</v>
      </c>
      <c r="K259" t="s">
        <v>26</v>
      </c>
      <c r="L259">
        <v>4</v>
      </c>
      <c r="M259">
        <v>11</v>
      </c>
      <c r="N259">
        <v>2</v>
      </c>
      <c r="O259" t="s">
        <v>28</v>
      </c>
      <c r="P259" t="s">
        <v>28</v>
      </c>
      <c r="Q259">
        <v>5</v>
      </c>
      <c r="R259" t="s">
        <v>27</v>
      </c>
      <c r="S259" t="s">
        <v>27</v>
      </c>
    </row>
    <row r="260" spans="1:19" x14ac:dyDescent="0.35">
      <c r="A260" t="s">
        <v>567</v>
      </c>
      <c r="B260" t="s">
        <v>568</v>
      </c>
      <c r="C260" t="s">
        <v>31</v>
      </c>
      <c r="D260">
        <v>42</v>
      </c>
      <c r="E260" t="s">
        <v>22</v>
      </c>
      <c r="F260" t="s">
        <v>64</v>
      </c>
      <c r="G260" t="s">
        <v>69</v>
      </c>
      <c r="H260" t="s">
        <v>70</v>
      </c>
      <c r="I260">
        <v>18</v>
      </c>
      <c r="J260">
        <v>58686</v>
      </c>
      <c r="K260" t="s">
        <v>40</v>
      </c>
      <c r="L260">
        <v>10</v>
      </c>
      <c r="M260">
        <v>31</v>
      </c>
      <c r="N260">
        <v>5</v>
      </c>
      <c r="O260" t="s">
        <v>28</v>
      </c>
      <c r="P260" t="s">
        <v>28</v>
      </c>
      <c r="Q260">
        <v>3</v>
      </c>
      <c r="R260" t="s">
        <v>27</v>
      </c>
      <c r="S260" t="s">
        <v>28</v>
      </c>
    </row>
    <row r="261" spans="1:19" x14ac:dyDescent="0.35">
      <c r="A261" t="s">
        <v>569</v>
      </c>
      <c r="B261" t="s">
        <v>570</v>
      </c>
      <c r="C261" t="s">
        <v>31</v>
      </c>
      <c r="D261">
        <v>39</v>
      </c>
      <c r="E261" t="s">
        <v>32</v>
      </c>
      <c r="F261" t="s">
        <v>43</v>
      </c>
      <c r="G261" t="s">
        <v>24</v>
      </c>
      <c r="H261" t="s">
        <v>70</v>
      </c>
      <c r="I261">
        <v>12</v>
      </c>
      <c r="J261">
        <v>69733</v>
      </c>
      <c r="K261" t="s">
        <v>26</v>
      </c>
      <c r="L261">
        <v>8</v>
      </c>
      <c r="M261">
        <v>37</v>
      </c>
      <c r="N261">
        <v>5</v>
      </c>
      <c r="O261" t="s">
        <v>27</v>
      </c>
      <c r="P261" t="s">
        <v>28</v>
      </c>
      <c r="Q261">
        <v>2</v>
      </c>
      <c r="R261" t="s">
        <v>27</v>
      </c>
      <c r="S261" t="s">
        <v>27</v>
      </c>
    </row>
    <row r="262" spans="1:19" x14ac:dyDescent="0.35">
      <c r="A262" t="s">
        <v>571</v>
      </c>
      <c r="B262" t="s">
        <v>572</v>
      </c>
      <c r="C262" t="s">
        <v>21</v>
      </c>
      <c r="D262">
        <v>51</v>
      </c>
      <c r="E262" t="s">
        <v>22</v>
      </c>
      <c r="F262" t="s">
        <v>573</v>
      </c>
      <c r="G262" t="s">
        <v>24</v>
      </c>
      <c r="H262" t="s">
        <v>34</v>
      </c>
      <c r="I262">
        <v>14</v>
      </c>
      <c r="J262">
        <v>68779</v>
      </c>
      <c r="K262" t="s">
        <v>35</v>
      </c>
      <c r="L262">
        <v>3</v>
      </c>
      <c r="M262">
        <v>40</v>
      </c>
      <c r="N262">
        <v>1</v>
      </c>
      <c r="O262" t="s">
        <v>27</v>
      </c>
      <c r="P262" t="s">
        <v>27</v>
      </c>
      <c r="Q262">
        <v>3</v>
      </c>
      <c r="R262" t="s">
        <v>27</v>
      </c>
      <c r="S262" t="s">
        <v>27</v>
      </c>
    </row>
    <row r="263" spans="1:19" x14ac:dyDescent="0.35">
      <c r="A263" t="s">
        <v>574</v>
      </c>
      <c r="B263" t="s">
        <v>575</v>
      </c>
      <c r="C263" t="s">
        <v>21</v>
      </c>
      <c r="D263">
        <v>46</v>
      </c>
      <c r="E263" t="s">
        <v>55</v>
      </c>
      <c r="F263" t="s">
        <v>64</v>
      </c>
      <c r="G263" t="s">
        <v>24</v>
      </c>
      <c r="H263" t="s">
        <v>131</v>
      </c>
      <c r="I263">
        <v>12</v>
      </c>
      <c r="J263">
        <v>58532</v>
      </c>
      <c r="K263" t="s">
        <v>35</v>
      </c>
      <c r="L263">
        <v>4</v>
      </c>
      <c r="M263">
        <v>23</v>
      </c>
      <c r="N263">
        <v>6</v>
      </c>
      <c r="O263" t="s">
        <v>27</v>
      </c>
      <c r="P263" t="s">
        <v>28</v>
      </c>
      <c r="Q263">
        <v>3</v>
      </c>
      <c r="R263" t="s">
        <v>28</v>
      </c>
      <c r="S263" t="s">
        <v>27</v>
      </c>
    </row>
    <row r="264" spans="1:19" x14ac:dyDescent="0.35">
      <c r="A264" t="s">
        <v>576</v>
      </c>
      <c r="B264" t="s">
        <v>577</v>
      </c>
      <c r="C264" t="s">
        <v>31</v>
      </c>
      <c r="D264">
        <v>53</v>
      </c>
      <c r="E264" t="s">
        <v>38</v>
      </c>
      <c r="F264" t="s">
        <v>64</v>
      </c>
      <c r="G264" t="s">
        <v>24</v>
      </c>
      <c r="H264" t="s">
        <v>61</v>
      </c>
      <c r="I264">
        <v>23</v>
      </c>
      <c r="J264">
        <v>76841</v>
      </c>
      <c r="K264" t="s">
        <v>45</v>
      </c>
      <c r="L264">
        <v>6</v>
      </c>
      <c r="M264">
        <v>42</v>
      </c>
      <c r="N264">
        <v>3</v>
      </c>
      <c r="O264" t="s">
        <v>28</v>
      </c>
      <c r="P264" t="s">
        <v>28</v>
      </c>
      <c r="Q264">
        <v>3</v>
      </c>
      <c r="R264" t="s">
        <v>27</v>
      </c>
      <c r="S264" t="s">
        <v>27</v>
      </c>
    </row>
    <row r="265" spans="1:19" x14ac:dyDescent="0.35">
      <c r="A265" t="s">
        <v>578</v>
      </c>
      <c r="B265" t="s">
        <v>579</v>
      </c>
      <c r="C265" t="s">
        <v>21</v>
      </c>
      <c r="D265">
        <v>52</v>
      </c>
      <c r="E265" t="s">
        <v>55</v>
      </c>
      <c r="F265" t="s">
        <v>23</v>
      </c>
      <c r="G265" t="s">
        <v>24</v>
      </c>
      <c r="H265" t="s">
        <v>52</v>
      </c>
      <c r="I265">
        <v>25</v>
      </c>
      <c r="J265">
        <v>70127</v>
      </c>
      <c r="K265" t="s">
        <v>40</v>
      </c>
      <c r="L265">
        <v>7</v>
      </c>
      <c r="M265">
        <v>0</v>
      </c>
      <c r="N265">
        <v>2</v>
      </c>
      <c r="O265" t="s">
        <v>27</v>
      </c>
      <c r="P265" t="s">
        <v>27</v>
      </c>
      <c r="Q265">
        <v>3</v>
      </c>
      <c r="R265" t="s">
        <v>27</v>
      </c>
      <c r="S265" t="s">
        <v>27</v>
      </c>
    </row>
    <row r="266" spans="1:19" x14ac:dyDescent="0.35">
      <c r="A266" t="s">
        <v>580</v>
      </c>
      <c r="B266" t="s">
        <v>581</v>
      </c>
      <c r="C266" t="s">
        <v>21</v>
      </c>
      <c r="D266">
        <v>22</v>
      </c>
      <c r="E266" t="s">
        <v>55</v>
      </c>
      <c r="F266" t="s">
        <v>48</v>
      </c>
      <c r="G266" t="s">
        <v>24</v>
      </c>
      <c r="H266" t="s">
        <v>25</v>
      </c>
      <c r="I266">
        <v>1</v>
      </c>
      <c r="J266">
        <v>47379</v>
      </c>
      <c r="K266" t="s">
        <v>40</v>
      </c>
      <c r="L266">
        <v>5</v>
      </c>
      <c r="M266">
        <v>60</v>
      </c>
      <c r="N266">
        <v>2</v>
      </c>
      <c r="O266" t="s">
        <v>28</v>
      </c>
      <c r="P266" t="s">
        <v>28</v>
      </c>
      <c r="Q266">
        <v>4</v>
      </c>
      <c r="R266" t="s">
        <v>27</v>
      </c>
      <c r="S266" t="s">
        <v>27</v>
      </c>
    </row>
    <row r="267" spans="1:19" x14ac:dyDescent="0.35">
      <c r="A267" t="s">
        <v>582</v>
      </c>
      <c r="B267" t="s">
        <v>583</v>
      </c>
      <c r="C267" t="s">
        <v>21</v>
      </c>
      <c r="D267">
        <v>51</v>
      </c>
      <c r="E267" t="s">
        <v>38</v>
      </c>
      <c r="F267" t="s">
        <v>60</v>
      </c>
      <c r="G267" t="s">
        <v>44</v>
      </c>
      <c r="H267" t="s">
        <v>70</v>
      </c>
      <c r="I267">
        <v>23</v>
      </c>
      <c r="J267">
        <v>63637</v>
      </c>
      <c r="K267" t="s">
        <v>26</v>
      </c>
      <c r="L267">
        <v>8</v>
      </c>
      <c r="M267">
        <v>48</v>
      </c>
      <c r="N267">
        <v>2</v>
      </c>
      <c r="O267" t="s">
        <v>27</v>
      </c>
      <c r="P267" t="s">
        <v>27</v>
      </c>
      <c r="Q267">
        <v>1</v>
      </c>
      <c r="R267" t="s">
        <v>27</v>
      </c>
      <c r="S267" t="s">
        <v>27</v>
      </c>
    </row>
    <row r="268" spans="1:19" x14ac:dyDescent="0.35">
      <c r="A268" t="s">
        <v>584</v>
      </c>
      <c r="B268" t="s">
        <v>585</v>
      </c>
      <c r="C268" t="s">
        <v>21</v>
      </c>
      <c r="D268">
        <v>52</v>
      </c>
      <c r="E268" t="s">
        <v>55</v>
      </c>
      <c r="F268" t="s">
        <v>43</v>
      </c>
      <c r="G268" t="s">
        <v>24</v>
      </c>
      <c r="H268" t="s">
        <v>49</v>
      </c>
      <c r="I268">
        <v>18</v>
      </c>
      <c r="J268">
        <v>82000</v>
      </c>
      <c r="K268" t="s">
        <v>45</v>
      </c>
      <c r="L268">
        <v>2</v>
      </c>
      <c r="M268">
        <v>56</v>
      </c>
      <c r="N268">
        <v>2</v>
      </c>
      <c r="O268" t="s">
        <v>27</v>
      </c>
      <c r="P268" t="s">
        <v>28</v>
      </c>
      <c r="Q268">
        <v>2</v>
      </c>
      <c r="R268" t="s">
        <v>27</v>
      </c>
      <c r="S268" t="s">
        <v>27</v>
      </c>
    </row>
    <row r="269" spans="1:19" x14ac:dyDescent="0.35">
      <c r="A269" t="s">
        <v>586</v>
      </c>
      <c r="B269" t="s">
        <v>587</v>
      </c>
      <c r="C269" t="s">
        <v>21</v>
      </c>
      <c r="D269">
        <v>40</v>
      </c>
      <c r="E269" t="s">
        <v>32</v>
      </c>
      <c r="F269" t="s">
        <v>33</v>
      </c>
      <c r="G269" t="s">
        <v>44</v>
      </c>
      <c r="H269" t="s">
        <v>25</v>
      </c>
      <c r="I269">
        <v>12</v>
      </c>
      <c r="J269">
        <v>67919</v>
      </c>
      <c r="K269" t="s">
        <v>45</v>
      </c>
      <c r="L269">
        <v>1</v>
      </c>
      <c r="M269">
        <v>30</v>
      </c>
      <c r="N269">
        <v>5</v>
      </c>
      <c r="O269" t="s">
        <v>27</v>
      </c>
      <c r="P269" t="s">
        <v>28</v>
      </c>
      <c r="Q269">
        <v>2</v>
      </c>
      <c r="R269" t="s">
        <v>27</v>
      </c>
      <c r="S269" t="s">
        <v>27</v>
      </c>
    </row>
    <row r="270" spans="1:19" x14ac:dyDescent="0.35">
      <c r="A270" t="s">
        <v>588</v>
      </c>
      <c r="B270" t="s">
        <v>589</v>
      </c>
      <c r="C270" t="s">
        <v>31</v>
      </c>
      <c r="D270">
        <v>39</v>
      </c>
      <c r="E270" t="s">
        <v>38</v>
      </c>
      <c r="F270" t="s">
        <v>64</v>
      </c>
      <c r="G270" t="s">
        <v>44</v>
      </c>
      <c r="H270" t="s">
        <v>70</v>
      </c>
      <c r="I270">
        <v>10</v>
      </c>
      <c r="J270">
        <v>72201</v>
      </c>
      <c r="K270" t="s">
        <v>35</v>
      </c>
      <c r="L270">
        <v>9</v>
      </c>
      <c r="M270">
        <v>21</v>
      </c>
      <c r="N270">
        <v>4</v>
      </c>
      <c r="O270" t="s">
        <v>27</v>
      </c>
      <c r="P270" t="s">
        <v>28</v>
      </c>
      <c r="Q270">
        <v>4</v>
      </c>
      <c r="R270" t="s">
        <v>27</v>
      </c>
      <c r="S270" t="s">
        <v>27</v>
      </c>
    </row>
    <row r="271" spans="1:19" x14ac:dyDescent="0.35">
      <c r="A271" t="s">
        <v>590</v>
      </c>
      <c r="B271" t="s">
        <v>591</v>
      </c>
      <c r="C271" t="s">
        <v>21</v>
      </c>
      <c r="D271">
        <v>34</v>
      </c>
      <c r="E271" t="s">
        <v>55</v>
      </c>
      <c r="F271" t="s">
        <v>64</v>
      </c>
      <c r="G271" t="s">
        <v>69</v>
      </c>
      <c r="H271" t="s">
        <v>34</v>
      </c>
      <c r="I271">
        <v>8</v>
      </c>
      <c r="J271">
        <v>55445</v>
      </c>
      <c r="K271" t="s">
        <v>40</v>
      </c>
      <c r="L271">
        <v>6</v>
      </c>
      <c r="M271">
        <v>40</v>
      </c>
      <c r="N271">
        <v>5</v>
      </c>
      <c r="O271" t="s">
        <v>27</v>
      </c>
      <c r="P271" t="s">
        <v>27</v>
      </c>
      <c r="Q271">
        <v>2</v>
      </c>
      <c r="R271" t="s">
        <v>28</v>
      </c>
      <c r="S271" t="s">
        <v>27</v>
      </c>
    </row>
    <row r="272" spans="1:19" x14ac:dyDescent="0.35">
      <c r="A272" t="s">
        <v>592</v>
      </c>
      <c r="B272" t="s">
        <v>593</v>
      </c>
      <c r="C272" t="s">
        <v>21</v>
      </c>
      <c r="D272">
        <v>41</v>
      </c>
      <c r="E272" t="s">
        <v>55</v>
      </c>
      <c r="F272" t="s">
        <v>48</v>
      </c>
      <c r="G272" t="s">
        <v>24</v>
      </c>
      <c r="H272" t="s">
        <v>25</v>
      </c>
      <c r="I272">
        <v>10</v>
      </c>
      <c r="J272">
        <v>48042</v>
      </c>
      <c r="K272" t="s">
        <v>35</v>
      </c>
      <c r="L272">
        <v>9</v>
      </c>
      <c r="M272">
        <v>120</v>
      </c>
      <c r="N272">
        <v>1</v>
      </c>
      <c r="O272" t="s">
        <v>28</v>
      </c>
      <c r="P272" t="s">
        <v>28</v>
      </c>
      <c r="Q272">
        <v>2</v>
      </c>
      <c r="R272" t="s">
        <v>27</v>
      </c>
      <c r="S272" t="s">
        <v>27</v>
      </c>
    </row>
    <row r="273" spans="1:19" x14ac:dyDescent="0.35">
      <c r="A273" t="s">
        <v>594</v>
      </c>
      <c r="B273" t="s">
        <v>595</v>
      </c>
      <c r="C273" t="s">
        <v>31</v>
      </c>
      <c r="D273">
        <v>51</v>
      </c>
      <c r="E273" t="s">
        <v>55</v>
      </c>
      <c r="F273" t="s">
        <v>60</v>
      </c>
      <c r="G273" t="s">
        <v>24</v>
      </c>
      <c r="H273" t="s">
        <v>25</v>
      </c>
      <c r="I273">
        <v>15</v>
      </c>
      <c r="J273">
        <v>70864</v>
      </c>
      <c r="K273" t="s">
        <v>45</v>
      </c>
      <c r="L273">
        <v>6</v>
      </c>
      <c r="M273">
        <v>28</v>
      </c>
      <c r="N273">
        <v>4</v>
      </c>
      <c r="O273" t="s">
        <v>27</v>
      </c>
      <c r="P273" t="s">
        <v>27</v>
      </c>
      <c r="Q273">
        <v>3</v>
      </c>
      <c r="R273" t="s">
        <v>27</v>
      </c>
      <c r="S273" t="s">
        <v>27</v>
      </c>
    </row>
    <row r="274" spans="1:19" x14ac:dyDescent="0.35">
      <c r="A274" t="s">
        <v>596</v>
      </c>
      <c r="B274" t="s">
        <v>597</v>
      </c>
      <c r="C274" t="s">
        <v>31</v>
      </c>
      <c r="D274">
        <v>35</v>
      </c>
      <c r="E274" t="s">
        <v>55</v>
      </c>
      <c r="F274" t="s">
        <v>39</v>
      </c>
      <c r="G274" t="s">
        <v>24</v>
      </c>
      <c r="H274" t="s">
        <v>52</v>
      </c>
      <c r="I274">
        <v>10</v>
      </c>
      <c r="J274">
        <v>51402</v>
      </c>
      <c r="K274" t="s">
        <v>26</v>
      </c>
      <c r="L274">
        <v>2</v>
      </c>
      <c r="M274">
        <v>20</v>
      </c>
      <c r="N274">
        <v>6</v>
      </c>
      <c r="O274" t="s">
        <v>27</v>
      </c>
      <c r="P274" t="s">
        <v>28</v>
      </c>
      <c r="Q274">
        <v>2</v>
      </c>
      <c r="R274" t="s">
        <v>27</v>
      </c>
      <c r="S274" t="s">
        <v>27</v>
      </c>
    </row>
    <row r="275" spans="1:19" x14ac:dyDescent="0.35">
      <c r="A275" t="s">
        <v>598</v>
      </c>
      <c r="B275" t="s">
        <v>599</v>
      </c>
      <c r="C275" t="s">
        <v>21</v>
      </c>
      <c r="D275">
        <v>35</v>
      </c>
      <c r="E275" t="s">
        <v>55</v>
      </c>
      <c r="F275" t="s">
        <v>23</v>
      </c>
      <c r="G275" t="s">
        <v>24</v>
      </c>
      <c r="H275" t="s">
        <v>34</v>
      </c>
      <c r="I275">
        <v>8</v>
      </c>
      <c r="J275">
        <v>67458</v>
      </c>
      <c r="K275" t="s">
        <v>40</v>
      </c>
      <c r="L275">
        <v>8</v>
      </c>
      <c r="M275">
        <v>41</v>
      </c>
      <c r="N275">
        <v>3</v>
      </c>
      <c r="O275" t="s">
        <v>27</v>
      </c>
      <c r="P275" t="s">
        <v>28</v>
      </c>
      <c r="Q275">
        <v>2</v>
      </c>
      <c r="R275" t="s">
        <v>27</v>
      </c>
      <c r="S275" t="s">
        <v>27</v>
      </c>
    </row>
    <row r="276" spans="1:19" x14ac:dyDescent="0.35">
      <c r="A276" t="s">
        <v>600</v>
      </c>
      <c r="B276" t="s">
        <v>601</v>
      </c>
      <c r="C276" t="s">
        <v>31</v>
      </c>
      <c r="D276">
        <v>35</v>
      </c>
      <c r="E276" t="s">
        <v>55</v>
      </c>
      <c r="F276" t="s">
        <v>23</v>
      </c>
      <c r="G276" t="s">
        <v>24</v>
      </c>
      <c r="H276" t="s">
        <v>34</v>
      </c>
      <c r="I276">
        <v>9</v>
      </c>
      <c r="J276">
        <v>69299</v>
      </c>
      <c r="K276" t="s">
        <v>45</v>
      </c>
      <c r="L276">
        <v>6</v>
      </c>
      <c r="M276">
        <v>27</v>
      </c>
      <c r="N276">
        <v>5</v>
      </c>
      <c r="O276" t="s">
        <v>28</v>
      </c>
      <c r="P276" t="s">
        <v>28</v>
      </c>
      <c r="Q276">
        <v>1</v>
      </c>
      <c r="R276" t="s">
        <v>28</v>
      </c>
      <c r="S276" t="s">
        <v>27</v>
      </c>
    </row>
    <row r="277" spans="1:19" x14ac:dyDescent="0.35">
      <c r="A277" t="s">
        <v>602</v>
      </c>
      <c r="B277" t="s">
        <v>603</v>
      </c>
      <c r="C277" t="s">
        <v>31</v>
      </c>
      <c r="D277">
        <v>44</v>
      </c>
      <c r="E277" t="s">
        <v>38</v>
      </c>
      <c r="F277" t="s">
        <v>23</v>
      </c>
      <c r="G277" t="s">
        <v>24</v>
      </c>
      <c r="H277" t="s">
        <v>34</v>
      </c>
      <c r="I277">
        <v>17</v>
      </c>
      <c r="J277">
        <v>82000</v>
      </c>
      <c r="K277" t="s">
        <v>45</v>
      </c>
      <c r="L277">
        <v>3</v>
      </c>
      <c r="M277">
        <v>42</v>
      </c>
      <c r="N277">
        <v>1</v>
      </c>
      <c r="O277" t="s">
        <v>27</v>
      </c>
      <c r="P277" t="s">
        <v>28</v>
      </c>
      <c r="Q277">
        <v>2</v>
      </c>
      <c r="R277" t="s">
        <v>27</v>
      </c>
      <c r="S277" t="s">
        <v>27</v>
      </c>
    </row>
    <row r="278" spans="1:19" x14ac:dyDescent="0.35">
      <c r="A278" t="s">
        <v>604</v>
      </c>
      <c r="B278" t="s">
        <v>605</v>
      </c>
      <c r="C278" t="s">
        <v>31</v>
      </c>
      <c r="D278">
        <v>28</v>
      </c>
      <c r="E278" t="s">
        <v>32</v>
      </c>
      <c r="F278" t="s">
        <v>60</v>
      </c>
      <c r="G278" t="s">
        <v>24</v>
      </c>
      <c r="H278" t="s">
        <v>131</v>
      </c>
      <c r="I278">
        <v>2</v>
      </c>
      <c r="J278">
        <v>59817</v>
      </c>
      <c r="K278" t="s">
        <v>45</v>
      </c>
      <c r="L278">
        <v>2</v>
      </c>
      <c r="M278">
        <v>34</v>
      </c>
      <c r="N278">
        <v>8</v>
      </c>
      <c r="O278" t="s">
        <v>28</v>
      </c>
      <c r="P278" t="s">
        <v>27</v>
      </c>
      <c r="Q278">
        <v>4</v>
      </c>
      <c r="R278" t="s">
        <v>28</v>
      </c>
      <c r="S278" t="s">
        <v>27</v>
      </c>
    </row>
    <row r="279" spans="1:19" x14ac:dyDescent="0.35">
      <c r="A279" t="s">
        <v>606</v>
      </c>
      <c r="B279" t="s">
        <v>607</v>
      </c>
      <c r="C279" t="s">
        <v>21</v>
      </c>
      <c r="D279">
        <v>40</v>
      </c>
      <c r="E279" t="s">
        <v>55</v>
      </c>
      <c r="F279" t="s">
        <v>39</v>
      </c>
      <c r="G279" t="s">
        <v>24</v>
      </c>
      <c r="H279" t="s">
        <v>131</v>
      </c>
      <c r="I279">
        <v>9</v>
      </c>
      <c r="J279">
        <v>53045</v>
      </c>
      <c r="K279" t="s">
        <v>45</v>
      </c>
      <c r="L279">
        <v>3</v>
      </c>
      <c r="M279">
        <v>18</v>
      </c>
      <c r="N279">
        <v>1</v>
      </c>
      <c r="O279" t="s">
        <v>27</v>
      </c>
      <c r="P279" t="s">
        <v>28</v>
      </c>
      <c r="Q279">
        <v>2</v>
      </c>
      <c r="R279" t="s">
        <v>27</v>
      </c>
      <c r="S279" t="s">
        <v>27</v>
      </c>
    </row>
    <row r="280" spans="1:19" x14ac:dyDescent="0.35">
      <c r="A280" t="s">
        <v>608</v>
      </c>
      <c r="B280" t="s">
        <v>609</v>
      </c>
      <c r="C280" t="s">
        <v>31</v>
      </c>
      <c r="D280">
        <v>29</v>
      </c>
      <c r="E280" t="s">
        <v>38</v>
      </c>
      <c r="F280" t="s">
        <v>33</v>
      </c>
      <c r="G280" t="s">
        <v>24</v>
      </c>
      <c r="H280" t="s">
        <v>25</v>
      </c>
      <c r="I280">
        <v>4</v>
      </c>
      <c r="J280">
        <v>54439</v>
      </c>
      <c r="K280" t="s">
        <v>35</v>
      </c>
      <c r="L280">
        <v>10</v>
      </c>
      <c r="M280">
        <v>23</v>
      </c>
      <c r="N280">
        <v>3</v>
      </c>
      <c r="O280" t="s">
        <v>27</v>
      </c>
      <c r="P280" t="s">
        <v>27</v>
      </c>
      <c r="Q280">
        <v>2</v>
      </c>
      <c r="R280" t="s">
        <v>27</v>
      </c>
      <c r="S280" t="s">
        <v>27</v>
      </c>
    </row>
    <row r="281" spans="1:19" x14ac:dyDescent="0.35">
      <c r="A281" t="s">
        <v>610</v>
      </c>
      <c r="B281" t="s">
        <v>611</v>
      </c>
      <c r="C281" t="s">
        <v>21</v>
      </c>
      <c r="D281">
        <v>53</v>
      </c>
      <c r="E281" t="s">
        <v>22</v>
      </c>
      <c r="F281" t="s">
        <v>39</v>
      </c>
      <c r="G281" t="s">
        <v>24</v>
      </c>
      <c r="H281" t="s">
        <v>52</v>
      </c>
      <c r="I281">
        <v>19</v>
      </c>
      <c r="J281">
        <v>60624</v>
      </c>
      <c r="K281" t="s">
        <v>40</v>
      </c>
      <c r="L281">
        <v>10</v>
      </c>
      <c r="M281">
        <v>0</v>
      </c>
      <c r="N281">
        <v>4</v>
      </c>
      <c r="O281" t="s">
        <v>28</v>
      </c>
      <c r="P281" t="s">
        <v>28</v>
      </c>
      <c r="Q281">
        <v>3</v>
      </c>
      <c r="R281" t="s">
        <v>27</v>
      </c>
      <c r="S281" t="s">
        <v>27</v>
      </c>
    </row>
    <row r="282" spans="1:19" x14ac:dyDescent="0.35">
      <c r="A282" t="s">
        <v>612</v>
      </c>
      <c r="B282" t="s">
        <v>613</v>
      </c>
      <c r="C282" t="s">
        <v>31</v>
      </c>
      <c r="D282">
        <v>49</v>
      </c>
      <c r="E282" t="s">
        <v>55</v>
      </c>
      <c r="F282" t="s">
        <v>43</v>
      </c>
      <c r="G282" t="s">
        <v>24</v>
      </c>
      <c r="H282" t="s">
        <v>61</v>
      </c>
      <c r="I282">
        <v>11</v>
      </c>
      <c r="J282">
        <v>78382</v>
      </c>
      <c r="K282" t="s">
        <v>45</v>
      </c>
      <c r="L282">
        <v>10</v>
      </c>
      <c r="M282">
        <v>22</v>
      </c>
      <c r="N282">
        <v>3</v>
      </c>
      <c r="O282" t="s">
        <v>27</v>
      </c>
      <c r="P282" t="s">
        <v>28</v>
      </c>
      <c r="Q282">
        <v>3</v>
      </c>
      <c r="R282" t="s">
        <v>27</v>
      </c>
      <c r="S282" t="s">
        <v>27</v>
      </c>
    </row>
    <row r="283" spans="1:19" x14ac:dyDescent="0.35">
      <c r="A283" t="s">
        <v>614</v>
      </c>
      <c r="B283" t="s">
        <v>615</v>
      </c>
      <c r="C283" t="s">
        <v>21</v>
      </c>
      <c r="D283">
        <v>49</v>
      </c>
      <c r="E283" t="s">
        <v>55</v>
      </c>
      <c r="F283" t="s">
        <v>33</v>
      </c>
      <c r="G283" t="s">
        <v>24</v>
      </c>
      <c r="H283" t="s">
        <v>131</v>
      </c>
      <c r="I283">
        <v>10</v>
      </c>
      <c r="J283">
        <v>65058</v>
      </c>
      <c r="K283" t="s">
        <v>40</v>
      </c>
      <c r="L283">
        <v>10</v>
      </c>
      <c r="M283">
        <v>15</v>
      </c>
      <c r="N283">
        <v>6</v>
      </c>
      <c r="O283" t="s">
        <v>27</v>
      </c>
      <c r="P283" t="s">
        <v>28</v>
      </c>
      <c r="Q283">
        <v>1</v>
      </c>
      <c r="R283" t="s">
        <v>27</v>
      </c>
      <c r="S283" t="s">
        <v>27</v>
      </c>
    </row>
    <row r="284" spans="1:19" x14ac:dyDescent="0.35">
      <c r="A284" t="s">
        <v>616</v>
      </c>
      <c r="B284" t="s">
        <v>617</v>
      </c>
      <c r="C284" t="s">
        <v>21</v>
      </c>
      <c r="D284">
        <v>47</v>
      </c>
      <c r="E284" t="s">
        <v>38</v>
      </c>
      <c r="F284" t="s">
        <v>64</v>
      </c>
      <c r="G284" t="s">
        <v>24</v>
      </c>
      <c r="H284" t="s">
        <v>70</v>
      </c>
      <c r="I284">
        <v>18</v>
      </c>
      <c r="J284">
        <v>76182</v>
      </c>
      <c r="K284" t="s">
        <v>40</v>
      </c>
      <c r="L284">
        <v>6</v>
      </c>
      <c r="M284">
        <v>18</v>
      </c>
      <c r="N284">
        <v>8</v>
      </c>
      <c r="O284" t="s">
        <v>28</v>
      </c>
      <c r="P284" t="s">
        <v>28</v>
      </c>
      <c r="Q284">
        <v>4</v>
      </c>
      <c r="R284" t="s">
        <v>28</v>
      </c>
      <c r="S284" t="s">
        <v>28</v>
      </c>
    </row>
    <row r="285" spans="1:19" x14ac:dyDescent="0.35">
      <c r="A285" t="s">
        <v>618</v>
      </c>
      <c r="B285" t="s">
        <v>619</v>
      </c>
      <c r="C285" t="s">
        <v>21</v>
      </c>
      <c r="D285">
        <v>26</v>
      </c>
      <c r="E285" t="s">
        <v>22</v>
      </c>
      <c r="F285" t="s">
        <v>48</v>
      </c>
      <c r="G285" t="s">
        <v>24</v>
      </c>
      <c r="H285" t="s">
        <v>34</v>
      </c>
      <c r="I285">
        <v>2</v>
      </c>
      <c r="J285">
        <v>45641</v>
      </c>
      <c r="K285" t="s">
        <v>45</v>
      </c>
      <c r="L285">
        <v>8</v>
      </c>
      <c r="M285">
        <v>32</v>
      </c>
      <c r="N285">
        <v>4</v>
      </c>
      <c r="O285" t="s">
        <v>28</v>
      </c>
      <c r="P285" t="s">
        <v>28</v>
      </c>
      <c r="Q285">
        <v>4</v>
      </c>
      <c r="R285" t="s">
        <v>27</v>
      </c>
      <c r="S285" t="s">
        <v>27</v>
      </c>
    </row>
    <row r="286" spans="1:19" x14ac:dyDescent="0.35">
      <c r="A286" t="s">
        <v>620</v>
      </c>
      <c r="B286" t="s">
        <v>621</v>
      </c>
      <c r="C286" t="s">
        <v>21</v>
      </c>
      <c r="D286">
        <v>45</v>
      </c>
      <c r="E286" t="s">
        <v>55</v>
      </c>
      <c r="F286" t="s">
        <v>39</v>
      </c>
      <c r="G286" t="s">
        <v>24</v>
      </c>
      <c r="H286" t="s">
        <v>131</v>
      </c>
      <c r="I286">
        <v>12</v>
      </c>
      <c r="J286">
        <v>61807</v>
      </c>
      <c r="K286" t="s">
        <v>45</v>
      </c>
      <c r="L286">
        <v>7</v>
      </c>
      <c r="M286">
        <v>25</v>
      </c>
      <c r="N286">
        <v>2</v>
      </c>
      <c r="O286" t="s">
        <v>27</v>
      </c>
      <c r="P286" t="s">
        <v>27</v>
      </c>
      <c r="Q286">
        <v>1</v>
      </c>
      <c r="R286" t="s">
        <v>27</v>
      </c>
      <c r="S286" t="s">
        <v>27</v>
      </c>
    </row>
    <row r="287" spans="1:19" x14ac:dyDescent="0.35">
      <c r="A287" t="s">
        <v>622</v>
      </c>
      <c r="B287" t="s">
        <v>623</v>
      </c>
      <c r="C287" t="s">
        <v>31</v>
      </c>
      <c r="D287">
        <v>30</v>
      </c>
      <c r="E287" t="s">
        <v>55</v>
      </c>
      <c r="F287" t="s">
        <v>60</v>
      </c>
      <c r="G287" t="s">
        <v>24</v>
      </c>
      <c r="H287" t="s">
        <v>49</v>
      </c>
      <c r="I287">
        <v>4</v>
      </c>
      <c r="J287">
        <v>53648</v>
      </c>
      <c r="K287" t="s">
        <v>45</v>
      </c>
      <c r="L287">
        <v>1</v>
      </c>
      <c r="M287">
        <v>24</v>
      </c>
      <c r="N287">
        <v>6</v>
      </c>
      <c r="O287" t="s">
        <v>28</v>
      </c>
      <c r="P287" t="s">
        <v>28</v>
      </c>
      <c r="Q287">
        <v>1</v>
      </c>
      <c r="R287" t="s">
        <v>27</v>
      </c>
      <c r="S287" t="s">
        <v>28</v>
      </c>
    </row>
    <row r="288" spans="1:19" x14ac:dyDescent="0.35">
      <c r="A288" t="s">
        <v>624</v>
      </c>
      <c r="B288" t="s">
        <v>625</v>
      </c>
      <c r="C288" t="s">
        <v>21</v>
      </c>
      <c r="D288">
        <v>45</v>
      </c>
      <c r="E288" t="s">
        <v>38</v>
      </c>
      <c r="F288" t="s">
        <v>64</v>
      </c>
      <c r="G288" t="s">
        <v>24</v>
      </c>
      <c r="H288" t="s">
        <v>52</v>
      </c>
      <c r="I288">
        <v>14</v>
      </c>
      <c r="J288">
        <v>66884</v>
      </c>
      <c r="K288" t="s">
        <v>45</v>
      </c>
      <c r="L288">
        <v>8</v>
      </c>
      <c r="M288">
        <v>5</v>
      </c>
      <c r="N288">
        <v>5</v>
      </c>
      <c r="O288" t="s">
        <v>28</v>
      </c>
      <c r="P288" t="s">
        <v>28</v>
      </c>
      <c r="Q288">
        <v>5</v>
      </c>
      <c r="R288" t="s">
        <v>27</v>
      </c>
      <c r="S288" t="s">
        <v>27</v>
      </c>
    </row>
    <row r="289" spans="1:19" x14ac:dyDescent="0.35">
      <c r="A289" t="s">
        <v>626</v>
      </c>
      <c r="B289" t="s">
        <v>627</v>
      </c>
      <c r="C289" t="s">
        <v>21</v>
      </c>
      <c r="D289">
        <v>35</v>
      </c>
      <c r="E289" t="s">
        <v>22</v>
      </c>
      <c r="F289" t="s">
        <v>64</v>
      </c>
      <c r="G289" t="s">
        <v>24</v>
      </c>
      <c r="H289" t="s">
        <v>34</v>
      </c>
      <c r="I289">
        <v>8</v>
      </c>
      <c r="J289">
        <v>64576</v>
      </c>
      <c r="K289" t="s">
        <v>45</v>
      </c>
      <c r="L289">
        <v>4</v>
      </c>
      <c r="M289">
        <v>18</v>
      </c>
      <c r="N289">
        <v>6</v>
      </c>
      <c r="O289" t="s">
        <v>27</v>
      </c>
      <c r="P289" t="s">
        <v>27</v>
      </c>
      <c r="Q289">
        <v>5</v>
      </c>
      <c r="R289" t="s">
        <v>27</v>
      </c>
      <c r="S289" t="s">
        <v>27</v>
      </c>
    </row>
    <row r="290" spans="1:19" x14ac:dyDescent="0.35">
      <c r="A290" t="s">
        <v>628</v>
      </c>
      <c r="B290" t="s">
        <v>629</v>
      </c>
      <c r="C290" t="s">
        <v>31</v>
      </c>
      <c r="D290">
        <v>35</v>
      </c>
      <c r="E290" t="s">
        <v>55</v>
      </c>
      <c r="F290" t="s">
        <v>23</v>
      </c>
      <c r="G290" t="s">
        <v>24</v>
      </c>
      <c r="H290" t="s">
        <v>49</v>
      </c>
      <c r="I290">
        <v>11</v>
      </c>
      <c r="J290">
        <v>62367</v>
      </c>
      <c r="K290" t="s">
        <v>26</v>
      </c>
      <c r="L290">
        <v>10</v>
      </c>
      <c r="M290">
        <v>51</v>
      </c>
      <c r="N290">
        <v>3</v>
      </c>
      <c r="O290" t="s">
        <v>27</v>
      </c>
      <c r="P290" t="s">
        <v>28</v>
      </c>
      <c r="Q290">
        <v>1</v>
      </c>
      <c r="R290" t="s">
        <v>27</v>
      </c>
      <c r="S290" t="s">
        <v>27</v>
      </c>
    </row>
    <row r="291" spans="1:19" x14ac:dyDescent="0.35">
      <c r="A291" t="s">
        <v>630</v>
      </c>
      <c r="B291" t="s">
        <v>631</v>
      </c>
      <c r="C291" t="s">
        <v>21</v>
      </c>
      <c r="D291">
        <v>35</v>
      </c>
      <c r="E291" t="s">
        <v>55</v>
      </c>
      <c r="F291" t="s">
        <v>23</v>
      </c>
      <c r="G291" t="s">
        <v>24</v>
      </c>
      <c r="H291" t="s">
        <v>70</v>
      </c>
      <c r="I291">
        <v>10</v>
      </c>
      <c r="J291">
        <v>73666</v>
      </c>
      <c r="K291" t="s">
        <v>45</v>
      </c>
      <c r="L291">
        <v>1</v>
      </c>
      <c r="M291">
        <v>10</v>
      </c>
      <c r="N291">
        <v>1</v>
      </c>
      <c r="O291" t="s">
        <v>28</v>
      </c>
      <c r="P291" t="s">
        <v>28</v>
      </c>
      <c r="Q291">
        <v>3</v>
      </c>
      <c r="R291" t="s">
        <v>28</v>
      </c>
      <c r="S291" t="s">
        <v>28</v>
      </c>
    </row>
    <row r="292" spans="1:19" x14ac:dyDescent="0.35">
      <c r="A292" t="s">
        <v>632</v>
      </c>
      <c r="B292" t="s">
        <v>633</v>
      </c>
      <c r="C292" t="s">
        <v>31</v>
      </c>
      <c r="D292">
        <v>30</v>
      </c>
      <c r="E292" t="s">
        <v>38</v>
      </c>
      <c r="F292" t="s">
        <v>48</v>
      </c>
      <c r="G292" t="s">
        <v>69</v>
      </c>
      <c r="H292" t="s">
        <v>52</v>
      </c>
      <c r="I292">
        <v>6</v>
      </c>
      <c r="J292">
        <v>50925</v>
      </c>
      <c r="K292" t="s">
        <v>45</v>
      </c>
      <c r="L292">
        <v>8</v>
      </c>
      <c r="M292">
        <v>27</v>
      </c>
      <c r="N292">
        <v>5</v>
      </c>
      <c r="O292" t="s">
        <v>27</v>
      </c>
      <c r="P292" t="s">
        <v>28</v>
      </c>
      <c r="Q292">
        <v>4</v>
      </c>
      <c r="R292" t="s">
        <v>28</v>
      </c>
      <c r="S292" t="s">
        <v>27</v>
      </c>
    </row>
    <row r="293" spans="1:19" x14ac:dyDescent="0.35">
      <c r="A293" t="s">
        <v>634</v>
      </c>
      <c r="B293" t="s">
        <v>635</v>
      </c>
      <c r="C293" t="s">
        <v>21</v>
      </c>
      <c r="D293">
        <v>33</v>
      </c>
      <c r="E293" t="s">
        <v>22</v>
      </c>
      <c r="F293" t="s">
        <v>39</v>
      </c>
      <c r="G293" t="s">
        <v>24</v>
      </c>
      <c r="H293" t="s">
        <v>25</v>
      </c>
      <c r="I293">
        <v>8</v>
      </c>
      <c r="J293">
        <v>64407</v>
      </c>
      <c r="K293" t="s">
        <v>40</v>
      </c>
      <c r="L293">
        <v>8</v>
      </c>
      <c r="M293">
        <v>7</v>
      </c>
      <c r="N293">
        <v>0</v>
      </c>
      <c r="O293" t="s">
        <v>28</v>
      </c>
      <c r="P293" t="s">
        <v>27</v>
      </c>
      <c r="Q293">
        <v>2</v>
      </c>
      <c r="R293" t="s">
        <v>27</v>
      </c>
      <c r="S293" t="s">
        <v>27</v>
      </c>
    </row>
    <row r="294" spans="1:19" x14ac:dyDescent="0.35">
      <c r="A294" t="s">
        <v>636</v>
      </c>
      <c r="B294" t="s">
        <v>637</v>
      </c>
      <c r="C294" t="s">
        <v>21</v>
      </c>
      <c r="D294">
        <v>40</v>
      </c>
      <c r="E294" t="s">
        <v>55</v>
      </c>
      <c r="F294" t="s">
        <v>48</v>
      </c>
      <c r="G294" t="s">
        <v>44</v>
      </c>
      <c r="H294" t="s">
        <v>61</v>
      </c>
      <c r="I294">
        <v>7</v>
      </c>
      <c r="J294">
        <v>39006</v>
      </c>
      <c r="K294" t="s">
        <v>35</v>
      </c>
      <c r="L294">
        <v>9</v>
      </c>
      <c r="M294">
        <v>25</v>
      </c>
      <c r="N294">
        <v>6</v>
      </c>
      <c r="O294" t="s">
        <v>28</v>
      </c>
      <c r="P294" t="s">
        <v>27</v>
      </c>
      <c r="Q294">
        <v>5</v>
      </c>
      <c r="R294" t="s">
        <v>27</v>
      </c>
      <c r="S294" t="s">
        <v>27</v>
      </c>
    </row>
    <row r="295" spans="1:19" x14ac:dyDescent="0.35">
      <c r="A295" t="s">
        <v>638</v>
      </c>
      <c r="B295" t="s">
        <v>639</v>
      </c>
      <c r="C295" t="s">
        <v>31</v>
      </c>
      <c r="D295">
        <v>24</v>
      </c>
      <c r="E295" t="s">
        <v>55</v>
      </c>
      <c r="F295" t="s">
        <v>64</v>
      </c>
      <c r="G295" t="s">
        <v>24</v>
      </c>
      <c r="H295" t="s">
        <v>34</v>
      </c>
      <c r="I295">
        <v>2</v>
      </c>
      <c r="J295">
        <v>55570</v>
      </c>
      <c r="K295" t="s">
        <v>45</v>
      </c>
      <c r="L295">
        <v>5</v>
      </c>
      <c r="M295">
        <v>38</v>
      </c>
      <c r="N295">
        <v>5</v>
      </c>
      <c r="O295" t="s">
        <v>27</v>
      </c>
      <c r="P295" t="s">
        <v>28</v>
      </c>
      <c r="Q295">
        <v>3</v>
      </c>
      <c r="R295" t="s">
        <v>28</v>
      </c>
      <c r="S295" t="s">
        <v>27</v>
      </c>
    </row>
    <row r="296" spans="1:19" x14ac:dyDescent="0.35">
      <c r="A296" t="s">
        <v>640</v>
      </c>
      <c r="B296" t="s">
        <v>641</v>
      </c>
      <c r="C296" t="s">
        <v>31</v>
      </c>
      <c r="D296">
        <v>33</v>
      </c>
      <c r="E296" t="s">
        <v>38</v>
      </c>
      <c r="F296" t="s">
        <v>48</v>
      </c>
      <c r="G296" t="s">
        <v>24</v>
      </c>
      <c r="H296" t="s">
        <v>52</v>
      </c>
      <c r="I296">
        <v>4</v>
      </c>
      <c r="J296">
        <v>44023</v>
      </c>
      <c r="K296" t="s">
        <v>35</v>
      </c>
      <c r="L296">
        <v>2</v>
      </c>
      <c r="M296">
        <v>60</v>
      </c>
      <c r="N296">
        <v>8</v>
      </c>
      <c r="O296" t="s">
        <v>27</v>
      </c>
      <c r="P296" t="s">
        <v>28</v>
      </c>
      <c r="Q296">
        <v>2</v>
      </c>
      <c r="R296" t="s">
        <v>28</v>
      </c>
      <c r="S296" t="s">
        <v>27</v>
      </c>
    </row>
    <row r="297" spans="1:19" x14ac:dyDescent="0.35">
      <c r="A297" t="s">
        <v>642</v>
      </c>
      <c r="B297" t="s">
        <v>643</v>
      </c>
      <c r="C297" t="s">
        <v>31</v>
      </c>
      <c r="D297">
        <v>47</v>
      </c>
      <c r="E297" t="s">
        <v>55</v>
      </c>
      <c r="F297" t="s">
        <v>64</v>
      </c>
      <c r="G297" t="s">
        <v>24</v>
      </c>
      <c r="H297" t="s">
        <v>49</v>
      </c>
      <c r="I297">
        <v>13</v>
      </c>
      <c r="J297">
        <v>66320</v>
      </c>
      <c r="K297" t="s">
        <v>26</v>
      </c>
      <c r="L297">
        <v>6</v>
      </c>
      <c r="M297">
        <v>31</v>
      </c>
      <c r="N297">
        <v>5</v>
      </c>
      <c r="O297" t="s">
        <v>27</v>
      </c>
      <c r="P297" t="s">
        <v>28</v>
      </c>
      <c r="Q297">
        <v>1</v>
      </c>
      <c r="R297" t="s">
        <v>27</v>
      </c>
      <c r="S297" t="s">
        <v>27</v>
      </c>
    </row>
    <row r="298" spans="1:19" x14ac:dyDescent="0.35">
      <c r="A298" t="s">
        <v>644</v>
      </c>
      <c r="B298" t="s">
        <v>645</v>
      </c>
      <c r="C298" t="s">
        <v>21</v>
      </c>
      <c r="D298">
        <v>33</v>
      </c>
      <c r="E298" t="s">
        <v>38</v>
      </c>
      <c r="F298" t="s">
        <v>23</v>
      </c>
      <c r="G298" t="s">
        <v>24</v>
      </c>
      <c r="H298" t="s">
        <v>34</v>
      </c>
      <c r="I298">
        <v>9</v>
      </c>
      <c r="J298">
        <v>69559</v>
      </c>
      <c r="K298" t="s">
        <v>45</v>
      </c>
      <c r="L298">
        <v>3</v>
      </c>
      <c r="M298">
        <v>1</v>
      </c>
      <c r="N298">
        <v>3</v>
      </c>
      <c r="O298" t="s">
        <v>27</v>
      </c>
      <c r="P298" t="s">
        <v>27</v>
      </c>
      <c r="Q298">
        <v>4</v>
      </c>
      <c r="R298" t="s">
        <v>27</v>
      </c>
      <c r="S298" t="s">
        <v>27</v>
      </c>
    </row>
    <row r="299" spans="1:19" x14ac:dyDescent="0.35">
      <c r="A299" t="s">
        <v>646</v>
      </c>
      <c r="B299" t="s">
        <v>647</v>
      </c>
      <c r="C299" t="s">
        <v>31</v>
      </c>
      <c r="D299">
        <v>51</v>
      </c>
      <c r="E299" t="s">
        <v>55</v>
      </c>
      <c r="F299" t="s">
        <v>64</v>
      </c>
      <c r="G299" t="s">
        <v>69</v>
      </c>
      <c r="H299" t="s">
        <v>61</v>
      </c>
      <c r="I299">
        <v>18</v>
      </c>
      <c r="J299">
        <v>59336</v>
      </c>
      <c r="K299" t="s">
        <v>45</v>
      </c>
      <c r="L299">
        <v>5</v>
      </c>
      <c r="M299">
        <v>49</v>
      </c>
      <c r="N299">
        <v>4</v>
      </c>
      <c r="O299" t="s">
        <v>28</v>
      </c>
      <c r="P299" t="s">
        <v>28</v>
      </c>
      <c r="Q299">
        <v>4</v>
      </c>
      <c r="R299" t="s">
        <v>28</v>
      </c>
      <c r="S299" t="s">
        <v>27</v>
      </c>
    </row>
    <row r="300" spans="1:19" x14ac:dyDescent="0.35">
      <c r="A300" t="s">
        <v>648</v>
      </c>
      <c r="B300" t="s">
        <v>649</v>
      </c>
      <c r="C300" t="s">
        <v>31</v>
      </c>
      <c r="D300">
        <v>50</v>
      </c>
      <c r="E300" t="s">
        <v>55</v>
      </c>
      <c r="F300" t="s">
        <v>43</v>
      </c>
      <c r="G300" t="s">
        <v>24</v>
      </c>
      <c r="H300" t="s">
        <v>70</v>
      </c>
      <c r="I300">
        <v>17</v>
      </c>
      <c r="J300">
        <v>81626</v>
      </c>
      <c r="K300" t="s">
        <v>26</v>
      </c>
      <c r="L300">
        <v>1</v>
      </c>
      <c r="M300">
        <v>20</v>
      </c>
      <c r="N300">
        <v>3</v>
      </c>
      <c r="O300" t="s">
        <v>27</v>
      </c>
      <c r="P300" t="s">
        <v>28</v>
      </c>
      <c r="Q300">
        <v>1</v>
      </c>
      <c r="R300" t="s">
        <v>27</v>
      </c>
      <c r="S300" t="s">
        <v>27</v>
      </c>
    </row>
    <row r="301" spans="1:19" x14ac:dyDescent="0.35">
      <c r="A301" t="s">
        <v>650</v>
      </c>
      <c r="B301" t="s">
        <v>651</v>
      </c>
      <c r="C301" t="s">
        <v>31</v>
      </c>
      <c r="D301">
        <v>34</v>
      </c>
      <c r="E301" t="s">
        <v>55</v>
      </c>
      <c r="F301" t="s">
        <v>23</v>
      </c>
      <c r="G301" t="s">
        <v>24</v>
      </c>
      <c r="H301" t="s">
        <v>70</v>
      </c>
      <c r="I301">
        <v>11</v>
      </c>
      <c r="J301">
        <v>66098</v>
      </c>
      <c r="K301" t="s">
        <v>35</v>
      </c>
      <c r="L301">
        <v>6</v>
      </c>
      <c r="M301">
        <v>28</v>
      </c>
      <c r="N301">
        <v>7</v>
      </c>
      <c r="O301" t="s">
        <v>27</v>
      </c>
      <c r="P301" t="s">
        <v>28</v>
      </c>
      <c r="Q301">
        <v>5</v>
      </c>
      <c r="R301" t="s">
        <v>27</v>
      </c>
      <c r="S301" t="s">
        <v>27</v>
      </c>
    </row>
    <row r="302" spans="1:19" x14ac:dyDescent="0.35">
      <c r="A302" t="s">
        <v>652</v>
      </c>
      <c r="B302" t="s">
        <v>653</v>
      </c>
      <c r="C302" t="s">
        <v>31</v>
      </c>
      <c r="D302">
        <v>35</v>
      </c>
      <c r="E302" t="s">
        <v>38</v>
      </c>
      <c r="F302" t="s">
        <v>48</v>
      </c>
      <c r="G302" t="s">
        <v>24</v>
      </c>
      <c r="H302" t="s">
        <v>70</v>
      </c>
      <c r="I302">
        <v>11</v>
      </c>
      <c r="J302">
        <v>50564</v>
      </c>
      <c r="K302" t="s">
        <v>45</v>
      </c>
      <c r="L302">
        <v>1</v>
      </c>
      <c r="M302">
        <v>27</v>
      </c>
      <c r="N302">
        <v>2</v>
      </c>
      <c r="O302" t="s">
        <v>27</v>
      </c>
      <c r="P302" t="s">
        <v>28</v>
      </c>
      <c r="Q302">
        <v>5</v>
      </c>
      <c r="R302" t="s">
        <v>27</v>
      </c>
      <c r="S302" t="s">
        <v>28</v>
      </c>
    </row>
    <row r="303" spans="1:19" x14ac:dyDescent="0.35">
      <c r="A303" t="s">
        <v>654</v>
      </c>
      <c r="B303" t="s">
        <v>655</v>
      </c>
      <c r="C303" t="s">
        <v>31</v>
      </c>
      <c r="D303">
        <v>21</v>
      </c>
      <c r="E303" t="s">
        <v>55</v>
      </c>
      <c r="F303" t="s">
        <v>33</v>
      </c>
      <c r="G303" t="s">
        <v>24</v>
      </c>
      <c r="H303" t="s">
        <v>70</v>
      </c>
      <c r="I303">
        <v>0</v>
      </c>
      <c r="J303">
        <v>55430</v>
      </c>
      <c r="K303" t="s">
        <v>26</v>
      </c>
      <c r="L303">
        <v>10</v>
      </c>
      <c r="M303">
        <v>31</v>
      </c>
      <c r="N303">
        <v>4</v>
      </c>
      <c r="O303" t="s">
        <v>28</v>
      </c>
      <c r="P303" t="s">
        <v>28</v>
      </c>
      <c r="Q303">
        <v>4</v>
      </c>
      <c r="R303" t="s">
        <v>27</v>
      </c>
      <c r="S303" t="s">
        <v>27</v>
      </c>
    </row>
    <row r="304" spans="1:19" x14ac:dyDescent="0.35">
      <c r="A304" t="s">
        <v>656</v>
      </c>
      <c r="B304" t="s">
        <v>657</v>
      </c>
      <c r="C304" t="s">
        <v>31</v>
      </c>
      <c r="D304">
        <v>50</v>
      </c>
      <c r="E304" t="s">
        <v>38</v>
      </c>
      <c r="F304" t="s">
        <v>48</v>
      </c>
      <c r="G304" t="s">
        <v>24</v>
      </c>
      <c r="H304" t="s">
        <v>61</v>
      </c>
      <c r="I304">
        <v>23</v>
      </c>
      <c r="J304">
        <v>61703</v>
      </c>
      <c r="K304" t="s">
        <v>26</v>
      </c>
      <c r="L304">
        <v>7</v>
      </c>
      <c r="M304">
        <v>52</v>
      </c>
      <c r="N304">
        <v>4</v>
      </c>
      <c r="O304" t="s">
        <v>28</v>
      </c>
      <c r="P304" t="s">
        <v>28</v>
      </c>
      <c r="Q304">
        <v>3</v>
      </c>
      <c r="R304" t="s">
        <v>27</v>
      </c>
      <c r="S304" t="s">
        <v>28</v>
      </c>
    </row>
    <row r="305" spans="1:19" x14ac:dyDescent="0.35">
      <c r="A305" t="s">
        <v>658</v>
      </c>
      <c r="B305" t="s">
        <v>659</v>
      </c>
      <c r="C305" t="s">
        <v>31</v>
      </c>
      <c r="D305">
        <v>32</v>
      </c>
      <c r="E305" t="s">
        <v>38</v>
      </c>
      <c r="F305" t="s">
        <v>60</v>
      </c>
      <c r="G305" t="s">
        <v>24</v>
      </c>
      <c r="H305" t="s">
        <v>70</v>
      </c>
      <c r="I305">
        <v>5</v>
      </c>
      <c r="J305">
        <v>65447</v>
      </c>
      <c r="K305" t="s">
        <v>40</v>
      </c>
      <c r="L305">
        <v>10</v>
      </c>
      <c r="M305">
        <v>36</v>
      </c>
      <c r="N305">
        <v>8</v>
      </c>
      <c r="O305" t="s">
        <v>28</v>
      </c>
      <c r="P305" t="s">
        <v>27</v>
      </c>
      <c r="Q305">
        <v>5</v>
      </c>
      <c r="R305" t="s">
        <v>27</v>
      </c>
      <c r="S305" t="s">
        <v>27</v>
      </c>
    </row>
    <row r="306" spans="1:19" x14ac:dyDescent="0.35">
      <c r="A306" t="s">
        <v>660</v>
      </c>
      <c r="B306" t="s">
        <v>661</v>
      </c>
      <c r="C306" t="s">
        <v>21</v>
      </c>
      <c r="D306">
        <v>52</v>
      </c>
      <c r="E306" t="s">
        <v>38</v>
      </c>
      <c r="F306" t="s">
        <v>43</v>
      </c>
      <c r="G306" t="s">
        <v>24</v>
      </c>
      <c r="H306" t="s">
        <v>25</v>
      </c>
      <c r="I306">
        <v>24</v>
      </c>
      <c r="J306">
        <v>75910</v>
      </c>
      <c r="K306" t="s">
        <v>45</v>
      </c>
      <c r="L306">
        <v>1</v>
      </c>
      <c r="M306">
        <v>41</v>
      </c>
      <c r="N306">
        <v>1</v>
      </c>
      <c r="O306" t="s">
        <v>27</v>
      </c>
      <c r="P306" t="s">
        <v>28</v>
      </c>
      <c r="Q306">
        <v>4</v>
      </c>
      <c r="R306" t="s">
        <v>28</v>
      </c>
      <c r="S306" t="s">
        <v>27</v>
      </c>
    </row>
    <row r="307" spans="1:19" x14ac:dyDescent="0.35">
      <c r="A307" t="s">
        <v>662</v>
      </c>
      <c r="B307" t="s">
        <v>663</v>
      </c>
      <c r="C307" t="s">
        <v>31</v>
      </c>
      <c r="D307">
        <v>51</v>
      </c>
      <c r="E307" t="s">
        <v>55</v>
      </c>
      <c r="F307" t="s">
        <v>64</v>
      </c>
      <c r="G307" t="s">
        <v>24</v>
      </c>
      <c r="H307" t="s">
        <v>49</v>
      </c>
      <c r="I307">
        <v>19</v>
      </c>
      <c r="J307">
        <v>82000</v>
      </c>
      <c r="K307" t="s">
        <v>45</v>
      </c>
      <c r="L307">
        <v>8</v>
      </c>
      <c r="M307">
        <v>35</v>
      </c>
      <c r="N307">
        <v>4</v>
      </c>
      <c r="O307" t="s">
        <v>27</v>
      </c>
      <c r="P307" t="s">
        <v>28</v>
      </c>
      <c r="Q307">
        <v>2</v>
      </c>
      <c r="R307" t="s">
        <v>28</v>
      </c>
      <c r="S307" t="s">
        <v>28</v>
      </c>
    </row>
    <row r="308" spans="1:19" x14ac:dyDescent="0.35">
      <c r="A308" t="s">
        <v>664</v>
      </c>
      <c r="B308" t="s">
        <v>665</v>
      </c>
      <c r="C308" t="s">
        <v>21</v>
      </c>
      <c r="D308">
        <v>27</v>
      </c>
      <c r="E308" t="s">
        <v>38</v>
      </c>
      <c r="F308" t="s">
        <v>23</v>
      </c>
      <c r="G308" t="s">
        <v>24</v>
      </c>
      <c r="H308" t="s">
        <v>70</v>
      </c>
      <c r="I308">
        <v>5</v>
      </c>
      <c r="J308">
        <v>67641</v>
      </c>
      <c r="K308" t="s">
        <v>45</v>
      </c>
      <c r="L308">
        <v>1</v>
      </c>
      <c r="M308">
        <v>42</v>
      </c>
      <c r="N308">
        <v>6</v>
      </c>
      <c r="O308" t="s">
        <v>27</v>
      </c>
      <c r="P308" t="s">
        <v>28</v>
      </c>
      <c r="Q308">
        <v>3</v>
      </c>
      <c r="R308" t="s">
        <v>27</v>
      </c>
      <c r="S308" t="s">
        <v>27</v>
      </c>
    </row>
    <row r="309" spans="1:19" x14ac:dyDescent="0.35">
      <c r="A309" t="s">
        <v>666</v>
      </c>
      <c r="B309" t="s">
        <v>667</v>
      </c>
      <c r="C309" t="s">
        <v>31</v>
      </c>
      <c r="D309">
        <v>47</v>
      </c>
      <c r="E309" t="s">
        <v>55</v>
      </c>
      <c r="F309" t="s">
        <v>60</v>
      </c>
      <c r="G309" t="s">
        <v>24</v>
      </c>
      <c r="H309" t="s">
        <v>61</v>
      </c>
      <c r="I309">
        <v>12</v>
      </c>
      <c r="J309">
        <v>49196</v>
      </c>
      <c r="K309" t="s">
        <v>35</v>
      </c>
      <c r="L309">
        <v>5</v>
      </c>
      <c r="M309">
        <v>23</v>
      </c>
      <c r="N309">
        <v>5</v>
      </c>
      <c r="O309" t="s">
        <v>27</v>
      </c>
      <c r="P309" t="s">
        <v>28</v>
      </c>
      <c r="Q309">
        <v>2</v>
      </c>
      <c r="R309" t="s">
        <v>27</v>
      </c>
      <c r="S309" t="s">
        <v>27</v>
      </c>
    </row>
    <row r="310" spans="1:19" x14ac:dyDescent="0.35">
      <c r="A310" t="s">
        <v>668</v>
      </c>
      <c r="B310" t="s">
        <v>669</v>
      </c>
      <c r="C310" t="s">
        <v>31</v>
      </c>
      <c r="D310">
        <v>50</v>
      </c>
      <c r="E310" t="s">
        <v>55</v>
      </c>
      <c r="F310" t="s">
        <v>39</v>
      </c>
      <c r="G310" t="s">
        <v>24</v>
      </c>
      <c r="H310" t="s">
        <v>131</v>
      </c>
      <c r="I310">
        <v>22</v>
      </c>
      <c r="J310">
        <v>55579</v>
      </c>
      <c r="K310" t="s">
        <v>35</v>
      </c>
      <c r="L310">
        <v>2</v>
      </c>
      <c r="M310">
        <v>26</v>
      </c>
      <c r="N310">
        <v>4</v>
      </c>
      <c r="O310" t="s">
        <v>27</v>
      </c>
      <c r="P310" t="s">
        <v>27</v>
      </c>
      <c r="Q310">
        <v>2</v>
      </c>
      <c r="R310" t="s">
        <v>27</v>
      </c>
      <c r="S310" t="s">
        <v>27</v>
      </c>
    </row>
    <row r="311" spans="1:19" x14ac:dyDescent="0.35">
      <c r="A311" t="s">
        <v>670</v>
      </c>
      <c r="B311" t="s">
        <v>671</v>
      </c>
      <c r="C311" t="s">
        <v>31</v>
      </c>
      <c r="D311">
        <v>33</v>
      </c>
      <c r="E311" t="s">
        <v>38</v>
      </c>
      <c r="F311" t="s">
        <v>23</v>
      </c>
      <c r="G311" t="s">
        <v>24</v>
      </c>
      <c r="H311" t="s">
        <v>52</v>
      </c>
      <c r="I311">
        <v>9</v>
      </c>
      <c r="J311">
        <v>69845</v>
      </c>
      <c r="K311" t="s">
        <v>35</v>
      </c>
      <c r="L311">
        <v>2</v>
      </c>
      <c r="M311">
        <v>25</v>
      </c>
      <c r="N311">
        <v>5</v>
      </c>
      <c r="O311" t="s">
        <v>28</v>
      </c>
      <c r="P311" t="s">
        <v>27</v>
      </c>
      <c r="Q311">
        <v>5</v>
      </c>
      <c r="R311" t="s">
        <v>27</v>
      </c>
      <c r="S311" t="s">
        <v>28</v>
      </c>
    </row>
    <row r="312" spans="1:19" x14ac:dyDescent="0.35">
      <c r="A312" t="s">
        <v>672</v>
      </c>
      <c r="B312" t="s">
        <v>673</v>
      </c>
      <c r="C312" t="s">
        <v>21</v>
      </c>
      <c r="D312">
        <v>55</v>
      </c>
      <c r="E312" t="s">
        <v>55</v>
      </c>
      <c r="F312" t="s">
        <v>48</v>
      </c>
      <c r="G312" t="s">
        <v>24</v>
      </c>
      <c r="H312" t="s">
        <v>52</v>
      </c>
      <c r="I312">
        <v>14</v>
      </c>
      <c r="J312">
        <v>54233</v>
      </c>
      <c r="K312" t="s">
        <v>45</v>
      </c>
      <c r="L312">
        <v>7</v>
      </c>
      <c r="M312">
        <v>37</v>
      </c>
      <c r="N312">
        <v>7</v>
      </c>
      <c r="O312" t="s">
        <v>28</v>
      </c>
      <c r="P312" t="s">
        <v>28</v>
      </c>
      <c r="Q312">
        <v>2</v>
      </c>
      <c r="R312" t="s">
        <v>27</v>
      </c>
      <c r="S312" t="s">
        <v>27</v>
      </c>
    </row>
    <row r="313" spans="1:19" x14ac:dyDescent="0.35">
      <c r="A313" t="s">
        <v>674</v>
      </c>
      <c r="B313" t="s">
        <v>675</v>
      </c>
      <c r="C313" t="s">
        <v>31</v>
      </c>
      <c r="D313">
        <v>52</v>
      </c>
      <c r="E313" t="s">
        <v>55</v>
      </c>
      <c r="F313" t="s">
        <v>39</v>
      </c>
      <c r="G313" t="s">
        <v>24</v>
      </c>
      <c r="H313" t="s">
        <v>131</v>
      </c>
      <c r="I313">
        <v>14</v>
      </c>
      <c r="J313">
        <v>58367</v>
      </c>
      <c r="K313" t="s">
        <v>35</v>
      </c>
      <c r="L313">
        <v>3</v>
      </c>
      <c r="M313">
        <v>35</v>
      </c>
      <c r="N313">
        <v>6</v>
      </c>
      <c r="O313" t="s">
        <v>28</v>
      </c>
      <c r="P313" t="s">
        <v>28</v>
      </c>
      <c r="Q313">
        <v>3</v>
      </c>
      <c r="R313" t="s">
        <v>27</v>
      </c>
      <c r="S313" t="s">
        <v>27</v>
      </c>
    </row>
    <row r="314" spans="1:19" x14ac:dyDescent="0.35">
      <c r="A314" t="s">
        <v>676</v>
      </c>
      <c r="B314" t="s">
        <v>677</v>
      </c>
      <c r="C314" t="s">
        <v>21</v>
      </c>
      <c r="D314">
        <v>48</v>
      </c>
      <c r="E314" t="s">
        <v>55</v>
      </c>
      <c r="F314" t="s">
        <v>64</v>
      </c>
      <c r="G314" t="s">
        <v>24</v>
      </c>
      <c r="H314" t="s">
        <v>131</v>
      </c>
      <c r="I314">
        <v>18</v>
      </c>
      <c r="J314">
        <v>69003</v>
      </c>
      <c r="K314" t="s">
        <v>45</v>
      </c>
      <c r="L314">
        <v>6</v>
      </c>
      <c r="M314">
        <v>36</v>
      </c>
      <c r="N314">
        <v>7</v>
      </c>
      <c r="O314" t="s">
        <v>27</v>
      </c>
      <c r="P314" t="s">
        <v>27</v>
      </c>
      <c r="Q314">
        <v>1</v>
      </c>
      <c r="R314" t="s">
        <v>27</v>
      </c>
      <c r="S314" t="s">
        <v>27</v>
      </c>
    </row>
    <row r="315" spans="1:19" x14ac:dyDescent="0.35">
      <c r="A315" t="s">
        <v>678</v>
      </c>
      <c r="B315" t="s">
        <v>679</v>
      </c>
      <c r="C315" t="s">
        <v>21</v>
      </c>
      <c r="D315">
        <v>43</v>
      </c>
      <c r="E315" t="s">
        <v>55</v>
      </c>
      <c r="F315" t="s">
        <v>23</v>
      </c>
      <c r="G315" t="s">
        <v>69</v>
      </c>
      <c r="H315" t="s">
        <v>52</v>
      </c>
      <c r="I315">
        <v>15</v>
      </c>
      <c r="J315">
        <v>71614</v>
      </c>
      <c r="K315" t="s">
        <v>45</v>
      </c>
      <c r="L315">
        <v>10</v>
      </c>
      <c r="M315">
        <v>18</v>
      </c>
      <c r="N315">
        <v>1</v>
      </c>
      <c r="O315" t="s">
        <v>27</v>
      </c>
      <c r="P315" t="s">
        <v>28</v>
      </c>
      <c r="Q315">
        <v>3</v>
      </c>
      <c r="R315" t="s">
        <v>27</v>
      </c>
      <c r="S315" t="s">
        <v>27</v>
      </c>
    </row>
    <row r="316" spans="1:19" x14ac:dyDescent="0.35">
      <c r="A316" t="s">
        <v>680</v>
      </c>
      <c r="B316" t="s">
        <v>681</v>
      </c>
      <c r="C316" t="s">
        <v>31</v>
      </c>
      <c r="D316">
        <v>22</v>
      </c>
      <c r="E316" t="s">
        <v>38</v>
      </c>
      <c r="F316" t="s">
        <v>64</v>
      </c>
      <c r="G316" t="s">
        <v>24</v>
      </c>
      <c r="H316" t="s">
        <v>70</v>
      </c>
      <c r="I316">
        <v>1</v>
      </c>
      <c r="J316">
        <v>64029</v>
      </c>
      <c r="K316" t="s">
        <v>35</v>
      </c>
      <c r="L316">
        <v>9</v>
      </c>
      <c r="M316">
        <v>34</v>
      </c>
      <c r="N316">
        <v>3</v>
      </c>
      <c r="O316" t="s">
        <v>27</v>
      </c>
      <c r="P316" t="s">
        <v>28</v>
      </c>
      <c r="Q316">
        <v>1</v>
      </c>
      <c r="R316" t="s">
        <v>28</v>
      </c>
      <c r="S316" t="s">
        <v>27</v>
      </c>
    </row>
    <row r="317" spans="1:19" x14ac:dyDescent="0.35">
      <c r="A317" t="s">
        <v>682</v>
      </c>
      <c r="B317" t="s">
        <v>683</v>
      </c>
      <c r="C317" t="s">
        <v>31</v>
      </c>
      <c r="D317">
        <v>43</v>
      </c>
      <c r="E317" t="s">
        <v>55</v>
      </c>
      <c r="F317" t="s">
        <v>23</v>
      </c>
      <c r="G317" t="s">
        <v>24</v>
      </c>
      <c r="H317" t="s">
        <v>49</v>
      </c>
      <c r="I317">
        <v>16</v>
      </c>
      <c r="J317">
        <v>78449</v>
      </c>
      <c r="K317" t="s">
        <v>45</v>
      </c>
      <c r="L317">
        <v>3</v>
      </c>
      <c r="M317">
        <v>33</v>
      </c>
      <c r="N317">
        <v>5</v>
      </c>
      <c r="O317" t="s">
        <v>27</v>
      </c>
      <c r="P317" t="s">
        <v>28</v>
      </c>
      <c r="Q317">
        <v>1</v>
      </c>
      <c r="R317" t="s">
        <v>28</v>
      </c>
      <c r="S317" t="s">
        <v>27</v>
      </c>
    </row>
    <row r="318" spans="1:19" x14ac:dyDescent="0.35">
      <c r="A318" t="s">
        <v>684</v>
      </c>
      <c r="B318" t="s">
        <v>685</v>
      </c>
      <c r="C318" t="s">
        <v>31</v>
      </c>
      <c r="D318">
        <v>45</v>
      </c>
      <c r="E318" t="s">
        <v>55</v>
      </c>
      <c r="F318" t="s">
        <v>39</v>
      </c>
      <c r="G318" t="s">
        <v>24</v>
      </c>
      <c r="H318" t="s">
        <v>34</v>
      </c>
      <c r="I318">
        <v>12</v>
      </c>
      <c r="J318">
        <v>64465</v>
      </c>
      <c r="K318" t="s">
        <v>35</v>
      </c>
      <c r="L318">
        <v>6</v>
      </c>
      <c r="M318">
        <v>7</v>
      </c>
      <c r="N318">
        <v>1</v>
      </c>
      <c r="O318" t="s">
        <v>27</v>
      </c>
      <c r="P318" t="s">
        <v>28</v>
      </c>
      <c r="Q318">
        <v>4</v>
      </c>
      <c r="R318" t="s">
        <v>28</v>
      </c>
      <c r="S318" t="s">
        <v>27</v>
      </c>
    </row>
    <row r="319" spans="1:19" x14ac:dyDescent="0.35">
      <c r="A319" t="s">
        <v>686</v>
      </c>
      <c r="B319" t="s">
        <v>687</v>
      </c>
      <c r="C319" t="s">
        <v>21</v>
      </c>
      <c r="D319">
        <v>22</v>
      </c>
      <c r="E319" t="s">
        <v>38</v>
      </c>
      <c r="F319" t="s">
        <v>48</v>
      </c>
      <c r="G319" t="s">
        <v>24</v>
      </c>
      <c r="H319" t="s">
        <v>49</v>
      </c>
      <c r="I319">
        <v>1</v>
      </c>
      <c r="J319">
        <v>51353</v>
      </c>
      <c r="K319" t="s">
        <v>40</v>
      </c>
      <c r="L319">
        <v>8</v>
      </c>
      <c r="M319">
        <v>34</v>
      </c>
      <c r="N319">
        <v>5</v>
      </c>
      <c r="O319" t="s">
        <v>28</v>
      </c>
      <c r="P319" t="s">
        <v>27</v>
      </c>
      <c r="Q319">
        <v>5</v>
      </c>
      <c r="R319" t="s">
        <v>27</v>
      </c>
      <c r="S319" t="s">
        <v>27</v>
      </c>
    </row>
    <row r="320" spans="1:19" x14ac:dyDescent="0.35">
      <c r="A320" t="s">
        <v>688</v>
      </c>
      <c r="B320" t="s">
        <v>689</v>
      </c>
      <c r="C320" t="s">
        <v>21</v>
      </c>
      <c r="D320">
        <v>49</v>
      </c>
      <c r="E320" t="s">
        <v>22</v>
      </c>
      <c r="F320" t="s">
        <v>39</v>
      </c>
      <c r="G320" t="s">
        <v>24</v>
      </c>
      <c r="H320" t="s">
        <v>52</v>
      </c>
      <c r="I320">
        <v>19</v>
      </c>
      <c r="J320">
        <v>62217</v>
      </c>
      <c r="K320" t="s">
        <v>35</v>
      </c>
      <c r="L320">
        <v>10</v>
      </c>
      <c r="M320">
        <v>42</v>
      </c>
      <c r="N320">
        <v>3</v>
      </c>
      <c r="O320" t="s">
        <v>27</v>
      </c>
      <c r="P320" t="s">
        <v>28</v>
      </c>
      <c r="Q320">
        <v>1</v>
      </c>
      <c r="R320" t="s">
        <v>28</v>
      </c>
      <c r="S320" t="s">
        <v>27</v>
      </c>
    </row>
    <row r="321" spans="1:19" x14ac:dyDescent="0.35">
      <c r="A321" t="s">
        <v>690</v>
      </c>
      <c r="B321" t="s">
        <v>691</v>
      </c>
      <c r="C321" t="s">
        <v>21</v>
      </c>
      <c r="D321">
        <v>53</v>
      </c>
      <c r="E321" t="s">
        <v>55</v>
      </c>
      <c r="F321" t="s">
        <v>48</v>
      </c>
      <c r="G321" t="s">
        <v>24</v>
      </c>
      <c r="H321" t="s">
        <v>61</v>
      </c>
      <c r="I321">
        <v>27</v>
      </c>
      <c r="J321">
        <v>56205</v>
      </c>
      <c r="K321" t="s">
        <v>45</v>
      </c>
      <c r="L321">
        <v>3</v>
      </c>
      <c r="M321">
        <v>37</v>
      </c>
      <c r="N321">
        <v>6</v>
      </c>
      <c r="O321" t="s">
        <v>28</v>
      </c>
      <c r="P321" t="s">
        <v>28</v>
      </c>
      <c r="Q321">
        <v>3</v>
      </c>
      <c r="R321" t="s">
        <v>28</v>
      </c>
      <c r="S321" t="s">
        <v>28</v>
      </c>
    </row>
    <row r="322" spans="1:19" x14ac:dyDescent="0.35">
      <c r="A322" t="s">
        <v>692</v>
      </c>
      <c r="B322" t="s">
        <v>693</v>
      </c>
      <c r="C322" t="s">
        <v>31</v>
      </c>
      <c r="D322">
        <v>52</v>
      </c>
      <c r="E322" t="s">
        <v>55</v>
      </c>
      <c r="F322" t="s">
        <v>39</v>
      </c>
      <c r="G322" t="s">
        <v>24</v>
      </c>
      <c r="H322" t="s">
        <v>694</v>
      </c>
      <c r="I322">
        <v>-2</v>
      </c>
      <c r="J322">
        <v>56761</v>
      </c>
      <c r="K322" t="s">
        <v>26</v>
      </c>
      <c r="L322">
        <v>7</v>
      </c>
      <c r="M322">
        <v>29</v>
      </c>
      <c r="N322">
        <v>1</v>
      </c>
      <c r="O322" t="s">
        <v>28</v>
      </c>
      <c r="P322" t="s">
        <v>28</v>
      </c>
      <c r="Q322">
        <v>5</v>
      </c>
      <c r="R322" t="s">
        <v>27</v>
      </c>
      <c r="S322" t="s">
        <v>27</v>
      </c>
    </row>
    <row r="323" spans="1:19" x14ac:dyDescent="0.35">
      <c r="A323" t="s">
        <v>695</v>
      </c>
      <c r="B323" t="s">
        <v>696</v>
      </c>
      <c r="C323" t="s">
        <v>31</v>
      </c>
      <c r="D323">
        <v>26</v>
      </c>
      <c r="E323" t="s">
        <v>38</v>
      </c>
      <c r="F323" t="s">
        <v>39</v>
      </c>
      <c r="G323" t="s">
        <v>24</v>
      </c>
      <c r="H323" t="s">
        <v>49</v>
      </c>
      <c r="I323">
        <v>3</v>
      </c>
      <c r="J323">
        <v>62151</v>
      </c>
      <c r="K323" t="s">
        <v>45</v>
      </c>
      <c r="L323">
        <v>10</v>
      </c>
      <c r="M323">
        <v>8</v>
      </c>
      <c r="N323">
        <v>3</v>
      </c>
      <c r="O323" t="s">
        <v>28</v>
      </c>
      <c r="P323" t="s">
        <v>28</v>
      </c>
      <c r="Q323">
        <v>1</v>
      </c>
      <c r="R323" t="s">
        <v>28</v>
      </c>
      <c r="S323" t="s">
        <v>27</v>
      </c>
    </row>
    <row r="324" spans="1:19" x14ac:dyDescent="0.35">
      <c r="A324" t="s">
        <v>697</v>
      </c>
      <c r="B324" t="s">
        <v>698</v>
      </c>
      <c r="C324" t="s">
        <v>21</v>
      </c>
      <c r="D324">
        <v>21</v>
      </c>
      <c r="E324" t="s">
        <v>38</v>
      </c>
      <c r="F324" t="s">
        <v>60</v>
      </c>
      <c r="G324" t="s">
        <v>69</v>
      </c>
      <c r="H324" t="s">
        <v>25</v>
      </c>
      <c r="I324">
        <v>0</v>
      </c>
      <c r="J324">
        <v>63922</v>
      </c>
      <c r="K324" t="s">
        <v>45</v>
      </c>
      <c r="L324">
        <v>5</v>
      </c>
      <c r="M324">
        <v>53</v>
      </c>
      <c r="N324">
        <v>5</v>
      </c>
      <c r="O324" t="s">
        <v>27</v>
      </c>
      <c r="P324" t="s">
        <v>28</v>
      </c>
      <c r="Q324">
        <v>2</v>
      </c>
      <c r="R324" t="s">
        <v>28</v>
      </c>
      <c r="S324" t="s">
        <v>27</v>
      </c>
    </row>
    <row r="325" spans="1:19" x14ac:dyDescent="0.35">
      <c r="A325" t="s">
        <v>699</v>
      </c>
      <c r="B325" t="s">
        <v>700</v>
      </c>
      <c r="C325" t="s">
        <v>21</v>
      </c>
      <c r="D325">
        <v>53</v>
      </c>
      <c r="E325" t="s">
        <v>38</v>
      </c>
      <c r="F325" t="s">
        <v>23</v>
      </c>
      <c r="G325" t="s">
        <v>24</v>
      </c>
      <c r="H325" t="s">
        <v>25</v>
      </c>
      <c r="I325">
        <v>24</v>
      </c>
      <c r="J325">
        <v>82000</v>
      </c>
      <c r="K325" t="s">
        <v>45</v>
      </c>
      <c r="L325">
        <v>10</v>
      </c>
      <c r="M325">
        <v>37</v>
      </c>
      <c r="N325">
        <v>4</v>
      </c>
      <c r="O325" t="s">
        <v>27</v>
      </c>
      <c r="P325" t="s">
        <v>28</v>
      </c>
      <c r="Q325">
        <v>3</v>
      </c>
      <c r="R325" t="s">
        <v>27</v>
      </c>
      <c r="S325" t="s">
        <v>27</v>
      </c>
    </row>
    <row r="326" spans="1:19" x14ac:dyDescent="0.35">
      <c r="A326" t="s">
        <v>701</v>
      </c>
      <c r="B326" t="s">
        <v>702</v>
      </c>
      <c r="C326" t="s">
        <v>21</v>
      </c>
      <c r="D326">
        <v>33</v>
      </c>
      <c r="E326" t="s">
        <v>38</v>
      </c>
      <c r="F326" t="s">
        <v>64</v>
      </c>
      <c r="G326" t="s">
        <v>24</v>
      </c>
      <c r="H326" t="s">
        <v>25</v>
      </c>
      <c r="I326">
        <v>6</v>
      </c>
      <c r="J326">
        <v>69683</v>
      </c>
      <c r="K326" t="s">
        <v>26</v>
      </c>
      <c r="L326">
        <v>10</v>
      </c>
      <c r="M326">
        <v>28</v>
      </c>
      <c r="N326">
        <v>3</v>
      </c>
      <c r="O326" t="s">
        <v>28</v>
      </c>
      <c r="P326" t="s">
        <v>27</v>
      </c>
      <c r="Q326">
        <v>4</v>
      </c>
      <c r="R326" t="s">
        <v>28</v>
      </c>
      <c r="S326" t="s">
        <v>27</v>
      </c>
    </row>
    <row r="327" spans="1:19" x14ac:dyDescent="0.35">
      <c r="A327" t="s">
        <v>703</v>
      </c>
      <c r="B327" t="s">
        <v>704</v>
      </c>
      <c r="C327" t="s">
        <v>31</v>
      </c>
      <c r="D327">
        <v>50</v>
      </c>
      <c r="E327" t="s">
        <v>38</v>
      </c>
      <c r="F327" t="s">
        <v>60</v>
      </c>
      <c r="G327" t="s">
        <v>24</v>
      </c>
      <c r="H327" t="s">
        <v>131</v>
      </c>
      <c r="I327">
        <v>12</v>
      </c>
      <c r="J327">
        <v>55290</v>
      </c>
      <c r="K327" t="s">
        <v>35</v>
      </c>
      <c r="L327">
        <v>8</v>
      </c>
      <c r="M327">
        <v>12</v>
      </c>
      <c r="N327">
        <v>6</v>
      </c>
      <c r="O327" t="s">
        <v>28</v>
      </c>
      <c r="P327" t="s">
        <v>28</v>
      </c>
      <c r="Q327">
        <v>4</v>
      </c>
      <c r="R327" t="s">
        <v>27</v>
      </c>
      <c r="S327" t="s">
        <v>27</v>
      </c>
    </row>
    <row r="328" spans="1:19" x14ac:dyDescent="0.35">
      <c r="A328" t="s">
        <v>705</v>
      </c>
      <c r="B328" t="s">
        <v>706</v>
      </c>
      <c r="C328" t="s">
        <v>31</v>
      </c>
      <c r="D328">
        <v>40</v>
      </c>
      <c r="E328" t="s">
        <v>55</v>
      </c>
      <c r="F328" t="s">
        <v>23</v>
      </c>
      <c r="G328" t="s">
        <v>24</v>
      </c>
      <c r="H328" t="s">
        <v>25</v>
      </c>
      <c r="I328">
        <v>15</v>
      </c>
      <c r="J328">
        <v>64736</v>
      </c>
      <c r="K328" t="s">
        <v>45</v>
      </c>
      <c r="L328">
        <v>9</v>
      </c>
      <c r="M328">
        <v>24</v>
      </c>
      <c r="N328">
        <v>3</v>
      </c>
      <c r="O328" t="s">
        <v>27</v>
      </c>
      <c r="P328" t="s">
        <v>27</v>
      </c>
      <c r="Q328">
        <v>2</v>
      </c>
      <c r="R328" t="s">
        <v>27</v>
      </c>
      <c r="S328" t="s">
        <v>27</v>
      </c>
    </row>
    <row r="329" spans="1:19" x14ac:dyDescent="0.35">
      <c r="A329" t="s">
        <v>707</v>
      </c>
      <c r="B329" t="s">
        <v>708</v>
      </c>
      <c r="C329" t="s">
        <v>31</v>
      </c>
      <c r="D329">
        <v>44</v>
      </c>
      <c r="E329" t="s">
        <v>55</v>
      </c>
      <c r="F329" t="s">
        <v>48</v>
      </c>
      <c r="G329" t="s">
        <v>24</v>
      </c>
      <c r="H329" t="s">
        <v>25</v>
      </c>
      <c r="I329">
        <v>17</v>
      </c>
      <c r="J329">
        <v>57115</v>
      </c>
      <c r="K329" t="s">
        <v>26</v>
      </c>
      <c r="L329">
        <v>1</v>
      </c>
      <c r="M329">
        <v>36</v>
      </c>
      <c r="N329">
        <v>4</v>
      </c>
      <c r="O329" t="s">
        <v>28</v>
      </c>
      <c r="P329" t="s">
        <v>28</v>
      </c>
      <c r="Q329">
        <v>5</v>
      </c>
      <c r="R329" t="s">
        <v>28</v>
      </c>
      <c r="S329" t="s">
        <v>27</v>
      </c>
    </row>
    <row r="330" spans="1:19" x14ac:dyDescent="0.35">
      <c r="A330" t="s">
        <v>709</v>
      </c>
      <c r="B330" t="s">
        <v>710</v>
      </c>
      <c r="C330" t="s">
        <v>21</v>
      </c>
      <c r="D330">
        <v>54</v>
      </c>
      <c r="E330" t="s">
        <v>38</v>
      </c>
      <c r="F330" t="s">
        <v>39</v>
      </c>
      <c r="G330" t="s">
        <v>24</v>
      </c>
      <c r="H330" t="s">
        <v>49</v>
      </c>
      <c r="I330">
        <v>14</v>
      </c>
      <c r="J330">
        <v>71094</v>
      </c>
      <c r="K330" t="s">
        <v>45</v>
      </c>
      <c r="L330">
        <v>9</v>
      </c>
      <c r="M330">
        <v>33</v>
      </c>
      <c r="N330">
        <v>4</v>
      </c>
      <c r="O330" t="s">
        <v>27</v>
      </c>
      <c r="P330" t="s">
        <v>27</v>
      </c>
      <c r="Q330">
        <v>4</v>
      </c>
      <c r="R330" t="s">
        <v>27</v>
      </c>
      <c r="S330" t="s">
        <v>27</v>
      </c>
    </row>
    <row r="331" spans="1:19" x14ac:dyDescent="0.35">
      <c r="A331" t="s">
        <v>711</v>
      </c>
      <c r="B331" t="s">
        <v>712</v>
      </c>
      <c r="C331" t="s">
        <v>21</v>
      </c>
      <c r="D331">
        <v>27</v>
      </c>
      <c r="E331" t="s">
        <v>38</v>
      </c>
      <c r="F331" t="s">
        <v>60</v>
      </c>
      <c r="G331" t="s">
        <v>24</v>
      </c>
      <c r="H331" t="s">
        <v>131</v>
      </c>
      <c r="I331">
        <v>3</v>
      </c>
      <c r="J331">
        <v>48081</v>
      </c>
      <c r="K331" t="s">
        <v>26</v>
      </c>
      <c r="L331">
        <v>3</v>
      </c>
      <c r="M331">
        <v>31</v>
      </c>
      <c r="N331">
        <v>2</v>
      </c>
      <c r="O331" t="s">
        <v>27</v>
      </c>
      <c r="P331" t="s">
        <v>27</v>
      </c>
      <c r="Q331">
        <v>5</v>
      </c>
      <c r="R331" t="s">
        <v>28</v>
      </c>
      <c r="S331" t="s">
        <v>27</v>
      </c>
    </row>
    <row r="332" spans="1:19" x14ac:dyDescent="0.35">
      <c r="A332" t="s">
        <v>713</v>
      </c>
      <c r="B332" t="s">
        <v>714</v>
      </c>
      <c r="C332" t="s">
        <v>31</v>
      </c>
      <c r="D332">
        <v>49</v>
      </c>
      <c r="E332" t="s">
        <v>55</v>
      </c>
      <c r="F332" t="s">
        <v>43</v>
      </c>
      <c r="G332" t="s">
        <v>44</v>
      </c>
      <c r="H332" t="s">
        <v>49</v>
      </c>
      <c r="I332">
        <v>13</v>
      </c>
      <c r="J332">
        <v>74534</v>
      </c>
      <c r="K332" t="s">
        <v>45</v>
      </c>
      <c r="L332">
        <v>3</v>
      </c>
      <c r="M332">
        <v>60</v>
      </c>
      <c r="N332">
        <v>2</v>
      </c>
      <c r="O332" t="s">
        <v>27</v>
      </c>
      <c r="P332" t="s">
        <v>28</v>
      </c>
      <c r="Q332">
        <v>5</v>
      </c>
      <c r="R332" t="s">
        <v>27</v>
      </c>
      <c r="S332" t="s">
        <v>27</v>
      </c>
    </row>
    <row r="333" spans="1:19" x14ac:dyDescent="0.35">
      <c r="A333" t="s">
        <v>715</v>
      </c>
      <c r="B333" t="s">
        <v>716</v>
      </c>
      <c r="C333" t="s">
        <v>31</v>
      </c>
      <c r="D333">
        <v>53</v>
      </c>
      <c r="E333" t="s">
        <v>55</v>
      </c>
      <c r="F333" t="s">
        <v>43</v>
      </c>
      <c r="G333" t="s">
        <v>24</v>
      </c>
      <c r="H333" t="s">
        <v>25</v>
      </c>
      <c r="I333">
        <v>22</v>
      </c>
      <c r="J333">
        <v>82000</v>
      </c>
      <c r="K333" t="s">
        <v>26</v>
      </c>
      <c r="L333">
        <v>1</v>
      </c>
      <c r="M333">
        <v>26</v>
      </c>
      <c r="N333">
        <v>4</v>
      </c>
      <c r="O333" t="s">
        <v>27</v>
      </c>
      <c r="P333" t="s">
        <v>28</v>
      </c>
      <c r="Q333">
        <v>4</v>
      </c>
      <c r="R333" t="s">
        <v>27</v>
      </c>
      <c r="S333" t="s">
        <v>27</v>
      </c>
    </row>
    <row r="334" spans="1:19" x14ac:dyDescent="0.35">
      <c r="A334" t="s">
        <v>717</v>
      </c>
      <c r="B334" t="s">
        <v>718</v>
      </c>
      <c r="C334" t="s">
        <v>31</v>
      </c>
      <c r="D334">
        <v>55</v>
      </c>
      <c r="E334" t="s">
        <v>32</v>
      </c>
      <c r="F334" t="s">
        <v>64</v>
      </c>
      <c r="G334" t="s">
        <v>24</v>
      </c>
      <c r="H334" t="s">
        <v>52</v>
      </c>
      <c r="I334">
        <v>16</v>
      </c>
      <c r="J334">
        <v>59209</v>
      </c>
      <c r="K334" t="s">
        <v>35</v>
      </c>
      <c r="L334">
        <v>2</v>
      </c>
      <c r="M334">
        <v>45</v>
      </c>
      <c r="N334">
        <v>4</v>
      </c>
      <c r="O334" t="s">
        <v>28</v>
      </c>
      <c r="P334" t="s">
        <v>27</v>
      </c>
      <c r="Q334">
        <v>4</v>
      </c>
      <c r="R334" t="s">
        <v>28</v>
      </c>
      <c r="S334" t="s">
        <v>27</v>
      </c>
    </row>
    <row r="335" spans="1:19" x14ac:dyDescent="0.35">
      <c r="A335" t="s">
        <v>719</v>
      </c>
      <c r="B335" t="s">
        <v>720</v>
      </c>
      <c r="C335" t="s">
        <v>21</v>
      </c>
      <c r="D335">
        <v>25</v>
      </c>
      <c r="E335" t="s">
        <v>38</v>
      </c>
      <c r="F335" t="s">
        <v>39</v>
      </c>
      <c r="G335" t="s">
        <v>24</v>
      </c>
      <c r="H335" t="s">
        <v>34</v>
      </c>
      <c r="I335">
        <v>3</v>
      </c>
      <c r="J335">
        <v>50468</v>
      </c>
      <c r="K335" t="s">
        <v>45</v>
      </c>
      <c r="L335">
        <v>4</v>
      </c>
      <c r="M335">
        <v>12</v>
      </c>
      <c r="N335">
        <v>4</v>
      </c>
      <c r="O335" t="s">
        <v>28</v>
      </c>
      <c r="P335" t="s">
        <v>28</v>
      </c>
      <c r="Q335">
        <v>3</v>
      </c>
      <c r="R335" t="s">
        <v>27</v>
      </c>
      <c r="S335" t="s">
        <v>27</v>
      </c>
    </row>
    <row r="336" spans="1:19" x14ac:dyDescent="0.35">
      <c r="A336" t="s">
        <v>721</v>
      </c>
      <c r="B336" t="s">
        <v>722</v>
      </c>
      <c r="C336" t="s">
        <v>21</v>
      </c>
      <c r="D336">
        <v>46</v>
      </c>
      <c r="E336" t="s">
        <v>32</v>
      </c>
      <c r="F336" t="s">
        <v>48</v>
      </c>
      <c r="G336" t="s">
        <v>44</v>
      </c>
      <c r="H336" t="s">
        <v>61</v>
      </c>
      <c r="I336">
        <v>10</v>
      </c>
      <c r="J336">
        <v>48626</v>
      </c>
      <c r="K336" t="s">
        <v>26</v>
      </c>
      <c r="L336">
        <v>6</v>
      </c>
      <c r="M336">
        <v>25</v>
      </c>
      <c r="N336">
        <v>6</v>
      </c>
      <c r="O336" t="s">
        <v>28</v>
      </c>
      <c r="P336" t="s">
        <v>27</v>
      </c>
      <c r="Q336">
        <v>4</v>
      </c>
      <c r="R336" t="s">
        <v>27</v>
      </c>
      <c r="S336" t="s">
        <v>27</v>
      </c>
    </row>
    <row r="337" spans="1:19" x14ac:dyDescent="0.35">
      <c r="A337" t="s">
        <v>723</v>
      </c>
      <c r="B337" t="s">
        <v>724</v>
      </c>
      <c r="C337" t="s">
        <v>31</v>
      </c>
      <c r="D337">
        <v>23</v>
      </c>
      <c r="E337" t="s">
        <v>38</v>
      </c>
      <c r="F337" t="s">
        <v>23</v>
      </c>
      <c r="G337" t="s">
        <v>24</v>
      </c>
      <c r="H337" t="s">
        <v>70</v>
      </c>
      <c r="I337">
        <v>2</v>
      </c>
      <c r="J337">
        <v>64293</v>
      </c>
      <c r="K337" t="s">
        <v>45</v>
      </c>
      <c r="L337">
        <v>6</v>
      </c>
      <c r="M337">
        <v>31</v>
      </c>
      <c r="N337">
        <v>1</v>
      </c>
      <c r="O337" t="s">
        <v>27</v>
      </c>
      <c r="P337" t="s">
        <v>27</v>
      </c>
      <c r="Q337">
        <v>3</v>
      </c>
      <c r="R337" t="s">
        <v>27</v>
      </c>
      <c r="S337" t="s">
        <v>28</v>
      </c>
    </row>
    <row r="338" spans="1:19" x14ac:dyDescent="0.35">
      <c r="A338" t="s">
        <v>725</v>
      </c>
      <c r="B338" t="s">
        <v>726</v>
      </c>
      <c r="C338" t="s">
        <v>21</v>
      </c>
      <c r="D338">
        <v>36</v>
      </c>
      <c r="E338" t="s">
        <v>32</v>
      </c>
      <c r="F338" t="s">
        <v>39</v>
      </c>
      <c r="G338" t="s">
        <v>44</v>
      </c>
      <c r="H338" t="s">
        <v>131</v>
      </c>
      <c r="I338">
        <v>7</v>
      </c>
      <c r="J338">
        <v>68474</v>
      </c>
      <c r="K338" t="s">
        <v>45</v>
      </c>
      <c r="L338">
        <v>7</v>
      </c>
      <c r="M338">
        <v>52</v>
      </c>
      <c r="N338">
        <v>3</v>
      </c>
      <c r="O338" t="s">
        <v>27</v>
      </c>
      <c r="P338" t="s">
        <v>27</v>
      </c>
      <c r="Q338">
        <v>5</v>
      </c>
      <c r="R338" t="s">
        <v>28</v>
      </c>
      <c r="S338" t="s">
        <v>27</v>
      </c>
    </row>
    <row r="339" spans="1:19" x14ac:dyDescent="0.35">
      <c r="A339" t="s">
        <v>727</v>
      </c>
      <c r="B339" t="s">
        <v>728</v>
      </c>
      <c r="C339" t="s">
        <v>21</v>
      </c>
      <c r="D339">
        <v>36</v>
      </c>
      <c r="E339" t="s">
        <v>32</v>
      </c>
      <c r="F339" t="s">
        <v>33</v>
      </c>
      <c r="G339" t="s">
        <v>24</v>
      </c>
      <c r="H339" t="s">
        <v>70</v>
      </c>
      <c r="I339">
        <v>10</v>
      </c>
      <c r="J339">
        <v>67174</v>
      </c>
      <c r="K339" t="s">
        <v>35</v>
      </c>
      <c r="L339">
        <v>6</v>
      </c>
      <c r="M339">
        <v>42</v>
      </c>
      <c r="N339">
        <v>5</v>
      </c>
      <c r="O339" t="s">
        <v>28</v>
      </c>
      <c r="P339" t="s">
        <v>28</v>
      </c>
      <c r="Q339">
        <v>4</v>
      </c>
      <c r="R339" t="s">
        <v>27</v>
      </c>
      <c r="S339" t="s">
        <v>28</v>
      </c>
    </row>
    <row r="340" spans="1:19" x14ac:dyDescent="0.35">
      <c r="A340" t="s">
        <v>729</v>
      </c>
      <c r="B340" t="s">
        <v>730</v>
      </c>
      <c r="C340" t="s">
        <v>21</v>
      </c>
      <c r="D340">
        <v>42</v>
      </c>
      <c r="E340" t="s">
        <v>38</v>
      </c>
      <c r="F340" t="s">
        <v>43</v>
      </c>
      <c r="G340" t="s">
        <v>24</v>
      </c>
      <c r="H340" t="s">
        <v>49</v>
      </c>
      <c r="I340">
        <v>17</v>
      </c>
      <c r="J340">
        <v>72368</v>
      </c>
      <c r="K340" t="s">
        <v>40</v>
      </c>
      <c r="L340">
        <v>9</v>
      </c>
      <c r="M340">
        <v>27</v>
      </c>
      <c r="N340">
        <v>3</v>
      </c>
      <c r="O340" t="s">
        <v>27</v>
      </c>
      <c r="P340" t="s">
        <v>27</v>
      </c>
      <c r="Q340">
        <v>3</v>
      </c>
      <c r="R340" t="s">
        <v>27</v>
      </c>
      <c r="S340" t="s">
        <v>27</v>
      </c>
    </row>
    <row r="341" spans="1:19" x14ac:dyDescent="0.35">
      <c r="A341" t="s">
        <v>731</v>
      </c>
      <c r="B341" t="s">
        <v>732</v>
      </c>
      <c r="C341" t="s">
        <v>31</v>
      </c>
      <c r="D341">
        <v>30</v>
      </c>
      <c r="E341" t="s">
        <v>55</v>
      </c>
      <c r="F341" t="s">
        <v>33</v>
      </c>
      <c r="G341" t="s">
        <v>24</v>
      </c>
      <c r="H341" t="s">
        <v>49</v>
      </c>
      <c r="I341">
        <v>6</v>
      </c>
      <c r="J341">
        <v>44999</v>
      </c>
      <c r="K341" t="s">
        <v>26</v>
      </c>
      <c r="L341">
        <v>7</v>
      </c>
      <c r="M341">
        <v>44</v>
      </c>
      <c r="N341">
        <v>6</v>
      </c>
      <c r="O341" t="s">
        <v>27</v>
      </c>
      <c r="P341" t="s">
        <v>28</v>
      </c>
      <c r="Q341">
        <v>2</v>
      </c>
      <c r="R341" t="s">
        <v>27</v>
      </c>
      <c r="S341" t="s">
        <v>27</v>
      </c>
    </row>
    <row r="342" spans="1:19" x14ac:dyDescent="0.35">
      <c r="A342" t="s">
        <v>733</v>
      </c>
      <c r="B342" t="s">
        <v>734</v>
      </c>
      <c r="C342" t="s">
        <v>31</v>
      </c>
      <c r="D342">
        <v>40</v>
      </c>
      <c r="E342" t="s">
        <v>38</v>
      </c>
      <c r="F342" t="s">
        <v>39</v>
      </c>
      <c r="G342" t="s">
        <v>44</v>
      </c>
      <c r="H342" t="s">
        <v>52</v>
      </c>
      <c r="I342">
        <v>15</v>
      </c>
      <c r="J342">
        <v>61212</v>
      </c>
      <c r="K342" t="s">
        <v>45</v>
      </c>
      <c r="L342">
        <v>7</v>
      </c>
      <c r="M342">
        <v>39</v>
      </c>
      <c r="N342">
        <v>5</v>
      </c>
      <c r="O342" t="s">
        <v>28</v>
      </c>
      <c r="P342" t="s">
        <v>28</v>
      </c>
      <c r="Q342">
        <v>4</v>
      </c>
      <c r="R342" t="s">
        <v>28</v>
      </c>
      <c r="S342" t="s">
        <v>27</v>
      </c>
    </row>
    <row r="343" spans="1:19" x14ac:dyDescent="0.35">
      <c r="A343" t="s">
        <v>735</v>
      </c>
      <c r="B343" t="s">
        <v>736</v>
      </c>
      <c r="C343" t="s">
        <v>31</v>
      </c>
      <c r="D343">
        <v>36</v>
      </c>
      <c r="E343" t="s">
        <v>55</v>
      </c>
      <c r="F343" t="s">
        <v>39</v>
      </c>
      <c r="G343" t="s">
        <v>24</v>
      </c>
      <c r="H343" t="s">
        <v>70</v>
      </c>
      <c r="I343">
        <v>10</v>
      </c>
      <c r="J343">
        <v>51156</v>
      </c>
      <c r="K343" t="s">
        <v>35</v>
      </c>
      <c r="L343">
        <v>8</v>
      </c>
      <c r="M343">
        <v>34</v>
      </c>
      <c r="N343">
        <v>6</v>
      </c>
      <c r="O343" t="s">
        <v>27</v>
      </c>
      <c r="P343" t="s">
        <v>27</v>
      </c>
      <c r="Q343">
        <v>5</v>
      </c>
      <c r="R343" t="s">
        <v>27</v>
      </c>
      <c r="S343" t="s">
        <v>27</v>
      </c>
    </row>
    <row r="344" spans="1:19" x14ac:dyDescent="0.35">
      <c r="A344" t="s">
        <v>737</v>
      </c>
      <c r="B344" t="s">
        <v>738</v>
      </c>
      <c r="C344" t="s">
        <v>31</v>
      </c>
      <c r="D344">
        <v>32</v>
      </c>
      <c r="E344" t="s">
        <v>55</v>
      </c>
      <c r="F344" t="s">
        <v>64</v>
      </c>
      <c r="G344" t="s">
        <v>24</v>
      </c>
      <c r="H344" t="s">
        <v>25</v>
      </c>
      <c r="I344">
        <v>6</v>
      </c>
      <c r="J344">
        <v>50883</v>
      </c>
      <c r="K344" t="s">
        <v>26</v>
      </c>
      <c r="L344">
        <v>4</v>
      </c>
      <c r="M344">
        <v>18</v>
      </c>
      <c r="N344">
        <v>3</v>
      </c>
      <c r="O344" t="s">
        <v>27</v>
      </c>
      <c r="P344" t="s">
        <v>28</v>
      </c>
      <c r="Q344">
        <v>1</v>
      </c>
      <c r="R344" t="s">
        <v>28</v>
      </c>
      <c r="S344" t="s">
        <v>27</v>
      </c>
    </row>
    <row r="345" spans="1:19" x14ac:dyDescent="0.35">
      <c r="A345" t="s">
        <v>739</v>
      </c>
      <c r="B345" t="s">
        <v>740</v>
      </c>
      <c r="C345" t="s">
        <v>21</v>
      </c>
      <c r="D345">
        <v>47</v>
      </c>
      <c r="E345" t="s">
        <v>38</v>
      </c>
      <c r="F345" t="s">
        <v>48</v>
      </c>
      <c r="G345" t="s">
        <v>24</v>
      </c>
      <c r="H345" t="s">
        <v>61</v>
      </c>
      <c r="I345">
        <v>10</v>
      </c>
      <c r="J345">
        <v>57329</v>
      </c>
      <c r="K345" t="s">
        <v>45</v>
      </c>
      <c r="L345">
        <v>5</v>
      </c>
      <c r="M345">
        <v>35</v>
      </c>
      <c r="N345">
        <v>0</v>
      </c>
      <c r="O345" t="s">
        <v>27</v>
      </c>
      <c r="P345" t="s">
        <v>27</v>
      </c>
      <c r="Q345">
        <v>4</v>
      </c>
      <c r="R345" t="s">
        <v>27</v>
      </c>
      <c r="S345" t="s">
        <v>27</v>
      </c>
    </row>
    <row r="346" spans="1:19" x14ac:dyDescent="0.35">
      <c r="A346" t="s">
        <v>741</v>
      </c>
      <c r="B346" t="s">
        <v>742</v>
      </c>
      <c r="C346" t="s">
        <v>21</v>
      </c>
      <c r="D346">
        <v>50</v>
      </c>
      <c r="E346" t="s">
        <v>32</v>
      </c>
      <c r="F346" t="s">
        <v>48</v>
      </c>
      <c r="G346" t="s">
        <v>69</v>
      </c>
      <c r="H346" t="s">
        <v>34</v>
      </c>
      <c r="I346">
        <v>22</v>
      </c>
      <c r="J346">
        <v>53476</v>
      </c>
      <c r="K346" t="s">
        <v>26</v>
      </c>
      <c r="L346">
        <v>1</v>
      </c>
      <c r="M346">
        <v>18</v>
      </c>
      <c r="N346">
        <v>3</v>
      </c>
      <c r="O346" t="s">
        <v>27</v>
      </c>
      <c r="P346" t="s">
        <v>28</v>
      </c>
      <c r="Q346">
        <v>1</v>
      </c>
      <c r="R346" t="s">
        <v>27</v>
      </c>
      <c r="S346" t="s">
        <v>27</v>
      </c>
    </row>
    <row r="347" spans="1:19" x14ac:dyDescent="0.35">
      <c r="A347" t="s">
        <v>743</v>
      </c>
      <c r="B347" t="s">
        <v>744</v>
      </c>
      <c r="C347" t="s">
        <v>31</v>
      </c>
      <c r="D347">
        <v>30</v>
      </c>
      <c r="E347" t="s">
        <v>38</v>
      </c>
      <c r="F347" t="s">
        <v>48</v>
      </c>
      <c r="G347" t="s">
        <v>24</v>
      </c>
      <c r="H347" t="s">
        <v>131</v>
      </c>
      <c r="I347">
        <v>4</v>
      </c>
      <c r="J347">
        <v>45005</v>
      </c>
      <c r="K347" t="s">
        <v>26</v>
      </c>
      <c r="L347">
        <v>6</v>
      </c>
      <c r="M347">
        <v>25</v>
      </c>
      <c r="N347">
        <v>5</v>
      </c>
      <c r="O347" t="s">
        <v>28</v>
      </c>
      <c r="P347" t="s">
        <v>28</v>
      </c>
      <c r="Q347">
        <v>1</v>
      </c>
      <c r="R347" t="s">
        <v>27</v>
      </c>
      <c r="S347" t="s">
        <v>27</v>
      </c>
    </row>
    <row r="348" spans="1:19" x14ac:dyDescent="0.35">
      <c r="A348" t="s">
        <v>745</v>
      </c>
      <c r="B348" t="s">
        <v>746</v>
      </c>
      <c r="C348" t="s">
        <v>31</v>
      </c>
      <c r="D348">
        <v>54</v>
      </c>
      <c r="E348" t="s">
        <v>55</v>
      </c>
      <c r="F348" t="s">
        <v>64</v>
      </c>
      <c r="G348" t="s">
        <v>24</v>
      </c>
      <c r="H348" t="s">
        <v>52</v>
      </c>
      <c r="I348">
        <v>21</v>
      </c>
      <c r="J348">
        <v>62318</v>
      </c>
      <c r="K348" t="s">
        <v>45</v>
      </c>
      <c r="L348">
        <v>4</v>
      </c>
      <c r="M348">
        <v>43</v>
      </c>
      <c r="N348">
        <v>3</v>
      </c>
      <c r="O348" t="s">
        <v>28</v>
      </c>
      <c r="P348" t="s">
        <v>28</v>
      </c>
      <c r="Q348">
        <v>4</v>
      </c>
      <c r="R348" t="s">
        <v>27</v>
      </c>
      <c r="S348" t="s">
        <v>27</v>
      </c>
    </row>
    <row r="349" spans="1:19" x14ac:dyDescent="0.35">
      <c r="A349" t="s">
        <v>747</v>
      </c>
      <c r="B349" t="s">
        <v>748</v>
      </c>
      <c r="C349" t="s">
        <v>21</v>
      </c>
      <c r="D349">
        <v>26</v>
      </c>
      <c r="E349" t="s">
        <v>55</v>
      </c>
      <c r="F349" t="s">
        <v>33</v>
      </c>
      <c r="G349" t="s">
        <v>24</v>
      </c>
      <c r="H349" t="s">
        <v>49</v>
      </c>
      <c r="I349">
        <v>3</v>
      </c>
      <c r="J349">
        <v>56236</v>
      </c>
      <c r="K349" t="s">
        <v>45</v>
      </c>
      <c r="L349">
        <v>4</v>
      </c>
      <c r="M349">
        <v>46</v>
      </c>
      <c r="N349">
        <v>5</v>
      </c>
      <c r="O349" t="s">
        <v>27</v>
      </c>
      <c r="P349" t="s">
        <v>27</v>
      </c>
      <c r="Q349">
        <v>5</v>
      </c>
      <c r="R349" t="s">
        <v>28</v>
      </c>
      <c r="S349" t="s">
        <v>27</v>
      </c>
    </row>
    <row r="350" spans="1:19" x14ac:dyDescent="0.35">
      <c r="A350" t="s">
        <v>749</v>
      </c>
      <c r="B350" t="s">
        <v>750</v>
      </c>
      <c r="C350" t="s">
        <v>21</v>
      </c>
      <c r="D350">
        <v>37</v>
      </c>
      <c r="E350" t="s">
        <v>55</v>
      </c>
      <c r="F350" t="s">
        <v>33</v>
      </c>
      <c r="G350" t="s">
        <v>24</v>
      </c>
      <c r="H350" t="s">
        <v>52</v>
      </c>
      <c r="I350">
        <v>13</v>
      </c>
      <c r="J350">
        <v>66056</v>
      </c>
      <c r="K350" t="s">
        <v>40</v>
      </c>
      <c r="L350">
        <v>1</v>
      </c>
      <c r="M350">
        <v>17</v>
      </c>
      <c r="N350">
        <v>4</v>
      </c>
      <c r="O350" t="s">
        <v>28</v>
      </c>
      <c r="P350" t="s">
        <v>28</v>
      </c>
      <c r="Q350">
        <v>4</v>
      </c>
      <c r="R350" t="s">
        <v>27</v>
      </c>
      <c r="S350" t="s">
        <v>27</v>
      </c>
    </row>
    <row r="351" spans="1:19" x14ac:dyDescent="0.35">
      <c r="A351" t="s">
        <v>751</v>
      </c>
      <c r="B351" t="s">
        <v>752</v>
      </c>
      <c r="C351" t="s">
        <v>21</v>
      </c>
      <c r="D351">
        <v>45</v>
      </c>
      <c r="E351" t="s">
        <v>38</v>
      </c>
      <c r="F351" t="s">
        <v>43</v>
      </c>
      <c r="G351" t="s">
        <v>69</v>
      </c>
      <c r="H351" t="s">
        <v>131</v>
      </c>
      <c r="I351">
        <v>17</v>
      </c>
      <c r="J351">
        <v>82000</v>
      </c>
      <c r="K351" t="s">
        <v>45</v>
      </c>
      <c r="L351">
        <v>5</v>
      </c>
      <c r="M351">
        <v>31</v>
      </c>
      <c r="N351">
        <v>2</v>
      </c>
      <c r="O351" t="s">
        <v>27</v>
      </c>
      <c r="P351" t="s">
        <v>27</v>
      </c>
      <c r="Q351">
        <v>3</v>
      </c>
      <c r="R351" t="s">
        <v>27</v>
      </c>
      <c r="S351" t="s">
        <v>27</v>
      </c>
    </row>
    <row r="352" spans="1:19" x14ac:dyDescent="0.35">
      <c r="A352" t="s">
        <v>753</v>
      </c>
      <c r="B352" t="s">
        <v>754</v>
      </c>
      <c r="C352" t="s">
        <v>21</v>
      </c>
      <c r="D352">
        <v>49</v>
      </c>
      <c r="E352" t="s">
        <v>55</v>
      </c>
      <c r="F352" t="s">
        <v>43</v>
      </c>
      <c r="G352" t="s">
        <v>44</v>
      </c>
      <c r="H352" t="s">
        <v>131</v>
      </c>
      <c r="I352">
        <v>13</v>
      </c>
      <c r="J352">
        <v>82000</v>
      </c>
      <c r="K352" t="s">
        <v>40</v>
      </c>
      <c r="L352">
        <v>6</v>
      </c>
      <c r="M352">
        <v>18</v>
      </c>
      <c r="N352">
        <v>3</v>
      </c>
      <c r="O352" t="s">
        <v>28</v>
      </c>
      <c r="P352" t="s">
        <v>28</v>
      </c>
      <c r="Q352">
        <v>2</v>
      </c>
      <c r="R352" t="s">
        <v>27</v>
      </c>
      <c r="S352" t="s">
        <v>27</v>
      </c>
    </row>
    <row r="353" spans="1:19" x14ac:dyDescent="0.35">
      <c r="A353" t="s">
        <v>755</v>
      </c>
      <c r="B353" t="s">
        <v>756</v>
      </c>
      <c r="C353" t="s">
        <v>21</v>
      </c>
      <c r="D353">
        <v>48</v>
      </c>
      <c r="E353" t="s">
        <v>55</v>
      </c>
      <c r="F353" t="s">
        <v>23</v>
      </c>
      <c r="G353" t="s">
        <v>44</v>
      </c>
      <c r="H353" t="s">
        <v>61</v>
      </c>
      <c r="I353">
        <v>16</v>
      </c>
      <c r="J353">
        <v>71255</v>
      </c>
      <c r="K353" t="s">
        <v>45</v>
      </c>
      <c r="L353">
        <v>4</v>
      </c>
      <c r="M353">
        <v>16</v>
      </c>
      <c r="N353">
        <v>5</v>
      </c>
      <c r="O353" t="s">
        <v>27</v>
      </c>
      <c r="P353" t="s">
        <v>28</v>
      </c>
      <c r="Q353">
        <v>3</v>
      </c>
      <c r="R353" t="s">
        <v>27</v>
      </c>
      <c r="S353" t="s">
        <v>27</v>
      </c>
    </row>
    <row r="354" spans="1:19" x14ac:dyDescent="0.35">
      <c r="A354" t="s">
        <v>757</v>
      </c>
      <c r="B354" t="s">
        <v>758</v>
      </c>
      <c r="C354" t="s">
        <v>31</v>
      </c>
      <c r="D354">
        <v>43</v>
      </c>
      <c r="E354" t="s">
        <v>38</v>
      </c>
      <c r="F354" t="s">
        <v>23</v>
      </c>
      <c r="G354" t="s">
        <v>24</v>
      </c>
      <c r="H354" t="s">
        <v>49</v>
      </c>
      <c r="I354">
        <v>15</v>
      </c>
      <c r="J354">
        <v>72122</v>
      </c>
      <c r="K354" t="s">
        <v>26</v>
      </c>
      <c r="L354">
        <v>7</v>
      </c>
      <c r="M354">
        <v>39</v>
      </c>
      <c r="N354">
        <v>3</v>
      </c>
      <c r="O354" t="s">
        <v>27</v>
      </c>
      <c r="P354" t="s">
        <v>28</v>
      </c>
      <c r="Q354">
        <v>1</v>
      </c>
      <c r="R354" t="s">
        <v>27</v>
      </c>
      <c r="S354" t="s">
        <v>27</v>
      </c>
    </row>
    <row r="355" spans="1:19" x14ac:dyDescent="0.35">
      <c r="A355" t="s">
        <v>759</v>
      </c>
      <c r="B355" t="s">
        <v>760</v>
      </c>
      <c r="C355" t="s">
        <v>31</v>
      </c>
      <c r="D355">
        <v>52</v>
      </c>
      <c r="E355" t="s">
        <v>55</v>
      </c>
      <c r="F355" t="s">
        <v>43</v>
      </c>
      <c r="G355" t="s">
        <v>44</v>
      </c>
      <c r="H355" t="s">
        <v>49</v>
      </c>
      <c r="I355">
        <v>22</v>
      </c>
      <c r="J355">
        <v>78706</v>
      </c>
      <c r="K355" t="s">
        <v>26</v>
      </c>
      <c r="L355">
        <v>6</v>
      </c>
      <c r="M355">
        <v>2</v>
      </c>
      <c r="N355">
        <v>2</v>
      </c>
      <c r="O355" t="s">
        <v>27</v>
      </c>
      <c r="P355" t="s">
        <v>28</v>
      </c>
      <c r="Q355">
        <v>5</v>
      </c>
      <c r="R355" t="s">
        <v>27</v>
      </c>
      <c r="S355" t="s">
        <v>27</v>
      </c>
    </row>
    <row r="356" spans="1:19" x14ac:dyDescent="0.35">
      <c r="A356" t="s">
        <v>761</v>
      </c>
      <c r="B356" t="s">
        <v>762</v>
      </c>
      <c r="C356" t="s">
        <v>21</v>
      </c>
      <c r="D356">
        <v>27</v>
      </c>
      <c r="E356" t="s">
        <v>38</v>
      </c>
      <c r="F356" t="s">
        <v>43</v>
      </c>
      <c r="G356" t="s">
        <v>24</v>
      </c>
      <c r="H356" t="s">
        <v>52</v>
      </c>
      <c r="I356">
        <v>3</v>
      </c>
      <c r="J356">
        <v>76282</v>
      </c>
      <c r="K356" t="s">
        <v>45</v>
      </c>
      <c r="L356">
        <v>8</v>
      </c>
      <c r="M356">
        <v>36</v>
      </c>
      <c r="N356">
        <v>2</v>
      </c>
      <c r="O356" t="s">
        <v>27</v>
      </c>
      <c r="P356" t="s">
        <v>28</v>
      </c>
      <c r="Q356">
        <v>4</v>
      </c>
      <c r="R356" t="s">
        <v>27</v>
      </c>
      <c r="S356" t="s">
        <v>27</v>
      </c>
    </row>
    <row r="357" spans="1:19" x14ac:dyDescent="0.35">
      <c r="A357" t="s">
        <v>763</v>
      </c>
      <c r="B357" t="s">
        <v>764</v>
      </c>
      <c r="C357" t="s">
        <v>21</v>
      </c>
      <c r="D357">
        <v>26</v>
      </c>
      <c r="E357" t="s">
        <v>55</v>
      </c>
      <c r="F357" t="s">
        <v>39</v>
      </c>
      <c r="G357" t="s">
        <v>24</v>
      </c>
      <c r="H357" t="s">
        <v>131</v>
      </c>
      <c r="I357">
        <v>4</v>
      </c>
      <c r="J357">
        <v>50879</v>
      </c>
      <c r="K357" t="s">
        <v>45</v>
      </c>
      <c r="L357">
        <v>1</v>
      </c>
      <c r="M357">
        <v>47</v>
      </c>
      <c r="N357">
        <v>5</v>
      </c>
      <c r="O357" t="s">
        <v>27</v>
      </c>
      <c r="P357" t="s">
        <v>28</v>
      </c>
      <c r="Q357">
        <v>5</v>
      </c>
      <c r="R357" t="s">
        <v>27</v>
      </c>
      <c r="S357" t="s">
        <v>28</v>
      </c>
    </row>
    <row r="358" spans="1:19" x14ac:dyDescent="0.35">
      <c r="A358" t="s">
        <v>765</v>
      </c>
      <c r="B358" t="s">
        <v>766</v>
      </c>
      <c r="C358" t="s">
        <v>21</v>
      </c>
      <c r="D358">
        <v>36</v>
      </c>
      <c r="E358" t="s">
        <v>55</v>
      </c>
      <c r="F358" t="s">
        <v>60</v>
      </c>
      <c r="G358" t="s">
        <v>69</v>
      </c>
      <c r="H358" t="s">
        <v>49</v>
      </c>
      <c r="I358">
        <v>9</v>
      </c>
      <c r="J358">
        <v>73540</v>
      </c>
      <c r="K358" t="s">
        <v>26</v>
      </c>
      <c r="L358">
        <v>10</v>
      </c>
      <c r="M358">
        <v>18</v>
      </c>
      <c r="N358">
        <v>5</v>
      </c>
      <c r="O358" t="s">
        <v>27</v>
      </c>
      <c r="P358" t="s">
        <v>28</v>
      </c>
      <c r="Q358">
        <v>1</v>
      </c>
      <c r="R358" t="s">
        <v>27</v>
      </c>
      <c r="S358" t="s">
        <v>27</v>
      </c>
    </row>
    <row r="359" spans="1:19" x14ac:dyDescent="0.35">
      <c r="A359" t="s">
        <v>767</v>
      </c>
      <c r="B359" t="s">
        <v>768</v>
      </c>
      <c r="C359" t="s">
        <v>21</v>
      </c>
      <c r="D359">
        <v>46</v>
      </c>
      <c r="E359" t="s">
        <v>38</v>
      </c>
      <c r="F359" t="s">
        <v>64</v>
      </c>
      <c r="G359" t="s">
        <v>24</v>
      </c>
      <c r="H359" t="s">
        <v>131</v>
      </c>
      <c r="I359">
        <v>16</v>
      </c>
      <c r="J359">
        <v>65916</v>
      </c>
      <c r="K359" t="s">
        <v>45</v>
      </c>
      <c r="L359">
        <v>9</v>
      </c>
      <c r="M359">
        <v>11</v>
      </c>
      <c r="N359">
        <v>3</v>
      </c>
      <c r="O359" t="s">
        <v>28</v>
      </c>
      <c r="P359" t="s">
        <v>28</v>
      </c>
      <c r="Q359">
        <v>2</v>
      </c>
      <c r="R359" t="s">
        <v>28</v>
      </c>
      <c r="S359" t="s">
        <v>27</v>
      </c>
    </row>
    <row r="360" spans="1:19" x14ac:dyDescent="0.35">
      <c r="A360" t="s">
        <v>769</v>
      </c>
      <c r="B360" t="s">
        <v>770</v>
      </c>
      <c r="C360" t="s">
        <v>31</v>
      </c>
      <c r="D360">
        <v>36</v>
      </c>
      <c r="E360" t="s">
        <v>38</v>
      </c>
      <c r="F360" t="s">
        <v>48</v>
      </c>
      <c r="G360" t="s">
        <v>24</v>
      </c>
      <c r="H360" t="s">
        <v>61</v>
      </c>
      <c r="I360">
        <v>6</v>
      </c>
      <c r="J360">
        <v>51316</v>
      </c>
      <c r="K360" t="s">
        <v>35</v>
      </c>
      <c r="L360">
        <v>9</v>
      </c>
      <c r="M360">
        <v>42</v>
      </c>
      <c r="N360">
        <v>7</v>
      </c>
      <c r="O360" t="s">
        <v>28</v>
      </c>
      <c r="P360" t="s">
        <v>27</v>
      </c>
      <c r="Q360">
        <v>5</v>
      </c>
      <c r="R360" t="s">
        <v>28</v>
      </c>
      <c r="S360" t="s">
        <v>27</v>
      </c>
    </row>
    <row r="361" spans="1:19" x14ac:dyDescent="0.35">
      <c r="A361" t="s">
        <v>771</v>
      </c>
      <c r="B361" t="s">
        <v>772</v>
      </c>
      <c r="C361" t="s">
        <v>21</v>
      </c>
      <c r="D361">
        <v>38</v>
      </c>
      <c r="E361" t="s">
        <v>55</v>
      </c>
      <c r="F361" t="s">
        <v>23</v>
      </c>
      <c r="G361" t="s">
        <v>24</v>
      </c>
      <c r="H361" t="s">
        <v>70</v>
      </c>
      <c r="I361">
        <v>7</v>
      </c>
      <c r="J361">
        <v>77112</v>
      </c>
      <c r="K361" t="s">
        <v>45</v>
      </c>
      <c r="L361">
        <v>7</v>
      </c>
      <c r="M361">
        <v>41</v>
      </c>
      <c r="N361">
        <v>4</v>
      </c>
      <c r="O361" t="s">
        <v>27</v>
      </c>
      <c r="P361" t="s">
        <v>28</v>
      </c>
      <c r="Q361">
        <v>5</v>
      </c>
      <c r="R361" t="s">
        <v>27</v>
      </c>
      <c r="S361" t="s">
        <v>27</v>
      </c>
    </row>
    <row r="362" spans="1:19" x14ac:dyDescent="0.35">
      <c r="A362" t="s">
        <v>773</v>
      </c>
      <c r="B362" t="s">
        <v>774</v>
      </c>
      <c r="C362" t="s">
        <v>21</v>
      </c>
      <c r="D362">
        <v>34</v>
      </c>
      <c r="E362" t="s">
        <v>55</v>
      </c>
      <c r="F362" t="s">
        <v>48</v>
      </c>
      <c r="G362" t="s">
        <v>24</v>
      </c>
      <c r="H362" t="s">
        <v>70</v>
      </c>
      <c r="I362">
        <v>10</v>
      </c>
      <c r="J362">
        <v>58225</v>
      </c>
      <c r="K362" t="s">
        <v>45</v>
      </c>
      <c r="L362">
        <v>3</v>
      </c>
      <c r="M362">
        <v>27</v>
      </c>
      <c r="N362">
        <v>6</v>
      </c>
      <c r="O362" t="s">
        <v>27</v>
      </c>
      <c r="P362" t="s">
        <v>27</v>
      </c>
      <c r="Q362">
        <v>1</v>
      </c>
      <c r="R362" t="s">
        <v>28</v>
      </c>
      <c r="S362" t="s">
        <v>27</v>
      </c>
    </row>
    <row r="363" spans="1:19" x14ac:dyDescent="0.35">
      <c r="A363" t="s">
        <v>775</v>
      </c>
      <c r="B363" t="s">
        <v>776</v>
      </c>
      <c r="C363" t="s">
        <v>21</v>
      </c>
      <c r="D363">
        <v>39</v>
      </c>
      <c r="E363" t="s">
        <v>22</v>
      </c>
      <c r="F363" t="s">
        <v>33</v>
      </c>
      <c r="G363" t="s">
        <v>69</v>
      </c>
      <c r="H363" t="s">
        <v>25</v>
      </c>
      <c r="I363">
        <v>14</v>
      </c>
      <c r="J363">
        <v>69782</v>
      </c>
      <c r="K363" t="s">
        <v>35</v>
      </c>
      <c r="L363">
        <v>7</v>
      </c>
      <c r="M363">
        <v>12</v>
      </c>
      <c r="N363">
        <v>4</v>
      </c>
      <c r="O363" t="s">
        <v>28</v>
      </c>
      <c r="P363" t="s">
        <v>27</v>
      </c>
      <c r="Q363">
        <v>5</v>
      </c>
      <c r="R363" t="s">
        <v>28</v>
      </c>
      <c r="S363" t="s">
        <v>27</v>
      </c>
    </row>
    <row r="364" spans="1:19" x14ac:dyDescent="0.35">
      <c r="A364" t="s">
        <v>777</v>
      </c>
      <c r="B364" t="s">
        <v>778</v>
      </c>
      <c r="C364" t="s">
        <v>21</v>
      </c>
      <c r="D364">
        <v>35</v>
      </c>
      <c r="E364" t="s">
        <v>55</v>
      </c>
      <c r="F364" t="s">
        <v>48</v>
      </c>
      <c r="G364" t="s">
        <v>24</v>
      </c>
      <c r="H364" t="s">
        <v>61</v>
      </c>
      <c r="I364">
        <v>11</v>
      </c>
      <c r="J364">
        <v>44637</v>
      </c>
      <c r="K364" t="s">
        <v>26</v>
      </c>
      <c r="L364">
        <v>9</v>
      </c>
      <c r="M364">
        <v>17</v>
      </c>
      <c r="N364">
        <v>0</v>
      </c>
      <c r="O364" t="s">
        <v>28</v>
      </c>
      <c r="P364" t="s">
        <v>27</v>
      </c>
      <c r="Q364">
        <v>1</v>
      </c>
      <c r="R364" t="s">
        <v>27</v>
      </c>
      <c r="S364" t="s">
        <v>27</v>
      </c>
    </row>
    <row r="365" spans="1:19" x14ac:dyDescent="0.35">
      <c r="A365" t="s">
        <v>779</v>
      </c>
      <c r="B365" t="s">
        <v>780</v>
      </c>
      <c r="C365" t="s">
        <v>21</v>
      </c>
      <c r="D365">
        <v>23</v>
      </c>
      <c r="E365" t="s">
        <v>55</v>
      </c>
      <c r="F365" t="s">
        <v>23</v>
      </c>
      <c r="G365" t="s">
        <v>24</v>
      </c>
      <c r="H365" t="s">
        <v>25</v>
      </c>
      <c r="I365">
        <v>1</v>
      </c>
      <c r="J365">
        <v>57994</v>
      </c>
      <c r="K365" t="s">
        <v>26</v>
      </c>
      <c r="L365">
        <v>7</v>
      </c>
      <c r="M365">
        <v>17</v>
      </c>
      <c r="N365">
        <v>4</v>
      </c>
      <c r="O365" t="s">
        <v>27</v>
      </c>
      <c r="P365" t="s">
        <v>27</v>
      </c>
      <c r="Q365">
        <v>4</v>
      </c>
      <c r="R365" t="s">
        <v>27</v>
      </c>
      <c r="S365" t="s">
        <v>27</v>
      </c>
    </row>
    <row r="366" spans="1:19" x14ac:dyDescent="0.35">
      <c r="A366" t="s">
        <v>781</v>
      </c>
      <c r="B366" t="s">
        <v>782</v>
      </c>
      <c r="C366" t="s">
        <v>21</v>
      </c>
      <c r="D366">
        <v>54</v>
      </c>
      <c r="E366" t="s">
        <v>38</v>
      </c>
      <c r="F366" t="s">
        <v>60</v>
      </c>
      <c r="G366" t="s">
        <v>24</v>
      </c>
      <c r="H366" t="s">
        <v>34</v>
      </c>
      <c r="I366">
        <v>23</v>
      </c>
      <c r="J366">
        <v>76234</v>
      </c>
      <c r="K366" t="s">
        <v>26</v>
      </c>
      <c r="L366">
        <v>5</v>
      </c>
      <c r="M366">
        <v>18</v>
      </c>
      <c r="N366">
        <v>6</v>
      </c>
      <c r="O366" t="s">
        <v>28</v>
      </c>
      <c r="P366" t="s">
        <v>27</v>
      </c>
      <c r="Q366">
        <v>1</v>
      </c>
      <c r="R366" t="s">
        <v>27</v>
      </c>
      <c r="S366" t="s">
        <v>27</v>
      </c>
    </row>
    <row r="367" spans="1:19" x14ac:dyDescent="0.35">
      <c r="A367" t="s">
        <v>783</v>
      </c>
      <c r="B367" t="s">
        <v>784</v>
      </c>
      <c r="C367" t="s">
        <v>21</v>
      </c>
      <c r="D367">
        <v>33</v>
      </c>
      <c r="E367" t="s">
        <v>55</v>
      </c>
      <c r="F367" t="s">
        <v>64</v>
      </c>
      <c r="G367" t="s">
        <v>24</v>
      </c>
      <c r="H367" t="s">
        <v>70</v>
      </c>
      <c r="I367">
        <v>9</v>
      </c>
      <c r="J367">
        <v>66087</v>
      </c>
      <c r="K367" t="s">
        <v>26</v>
      </c>
      <c r="L367">
        <v>7</v>
      </c>
      <c r="M367">
        <v>14</v>
      </c>
      <c r="N367">
        <v>7</v>
      </c>
      <c r="O367" t="s">
        <v>27</v>
      </c>
      <c r="P367" t="s">
        <v>28</v>
      </c>
      <c r="Q367">
        <v>1</v>
      </c>
      <c r="R367" t="s">
        <v>27</v>
      </c>
      <c r="S367" t="s">
        <v>27</v>
      </c>
    </row>
    <row r="368" spans="1:19" x14ac:dyDescent="0.35">
      <c r="A368" t="s">
        <v>785</v>
      </c>
      <c r="B368" t="s">
        <v>786</v>
      </c>
      <c r="C368" t="s">
        <v>21</v>
      </c>
      <c r="D368">
        <v>51</v>
      </c>
      <c r="E368" t="s">
        <v>55</v>
      </c>
      <c r="F368" t="s">
        <v>48</v>
      </c>
      <c r="G368" t="s">
        <v>24</v>
      </c>
      <c r="H368" t="s">
        <v>70</v>
      </c>
      <c r="I368">
        <v>23</v>
      </c>
      <c r="J368">
        <v>62185</v>
      </c>
      <c r="K368" t="s">
        <v>26</v>
      </c>
      <c r="L368">
        <v>8</v>
      </c>
      <c r="M368">
        <v>28</v>
      </c>
      <c r="N368">
        <v>5</v>
      </c>
      <c r="O368" t="s">
        <v>28</v>
      </c>
      <c r="P368" t="s">
        <v>27</v>
      </c>
      <c r="Q368">
        <v>3</v>
      </c>
      <c r="R368" t="s">
        <v>27</v>
      </c>
      <c r="S368" t="s">
        <v>27</v>
      </c>
    </row>
    <row r="369" spans="1:19" x14ac:dyDescent="0.35">
      <c r="A369" t="s">
        <v>787</v>
      </c>
      <c r="B369" t="s">
        <v>788</v>
      </c>
      <c r="C369" t="s">
        <v>31</v>
      </c>
      <c r="D369">
        <v>50</v>
      </c>
      <c r="E369" t="s">
        <v>38</v>
      </c>
      <c r="F369" t="s">
        <v>64</v>
      </c>
      <c r="G369" t="s">
        <v>69</v>
      </c>
      <c r="H369" t="s">
        <v>34</v>
      </c>
      <c r="I369">
        <v>24</v>
      </c>
      <c r="J369">
        <v>79991</v>
      </c>
      <c r="K369" t="s">
        <v>45</v>
      </c>
      <c r="L369">
        <v>3</v>
      </c>
      <c r="M369">
        <v>17</v>
      </c>
      <c r="N369">
        <v>4</v>
      </c>
      <c r="O369" t="s">
        <v>27</v>
      </c>
      <c r="P369" t="s">
        <v>27</v>
      </c>
      <c r="Q369">
        <v>4</v>
      </c>
      <c r="R369" t="s">
        <v>27</v>
      </c>
      <c r="S369" t="s">
        <v>27</v>
      </c>
    </row>
    <row r="370" spans="1:19" x14ac:dyDescent="0.35">
      <c r="A370" t="s">
        <v>789</v>
      </c>
      <c r="B370" t="s">
        <v>790</v>
      </c>
      <c r="C370" t="s">
        <v>31</v>
      </c>
      <c r="D370">
        <v>54</v>
      </c>
      <c r="E370" t="s">
        <v>38</v>
      </c>
      <c r="F370" t="s">
        <v>60</v>
      </c>
      <c r="G370" t="s">
        <v>24</v>
      </c>
      <c r="H370" t="s">
        <v>25</v>
      </c>
      <c r="I370">
        <v>24</v>
      </c>
      <c r="J370">
        <v>59713</v>
      </c>
      <c r="K370" t="s">
        <v>35</v>
      </c>
      <c r="L370">
        <v>1</v>
      </c>
      <c r="M370">
        <v>52</v>
      </c>
      <c r="N370">
        <v>1</v>
      </c>
      <c r="O370" t="s">
        <v>28</v>
      </c>
      <c r="P370" t="s">
        <v>28</v>
      </c>
      <c r="Q370">
        <v>1</v>
      </c>
      <c r="R370" t="s">
        <v>27</v>
      </c>
      <c r="S370" t="s">
        <v>27</v>
      </c>
    </row>
    <row r="371" spans="1:19" x14ac:dyDescent="0.35">
      <c r="A371" t="s">
        <v>791</v>
      </c>
      <c r="B371" t="s">
        <v>792</v>
      </c>
      <c r="C371" t="s">
        <v>21</v>
      </c>
      <c r="D371">
        <v>43</v>
      </c>
      <c r="E371" t="s">
        <v>55</v>
      </c>
      <c r="F371" t="s">
        <v>64</v>
      </c>
      <c r="G371" t="s">
        <v>24</v>
      </c>
      <c r="H371" t="s">
        <v>61</v>
      </c>
      <c r="I371">
        <v>10</v>
      </c>
      <c r="J371">
        <v>58448</v>
      </c>
      <c r="K371" t="s">
        <v>26</v>
      </c>
      <c r="L371">
        <v>7</v>
      </c>
      <c r="M371">
        <v>22</v>
      </c>
      <c r="N371">
        <v>8</v>
      </c>
      <c r="O371" t="s">
        <v>27</v>
      </c>
      <c r="P371" t="s">
        <v>28</v>
      </c>
      <c r="Q371">
        <v>1</v>
      </c>
      <c r="R371" t="s">
        <v>27</v>
      </c>
      <c r="S371" t="s">
        <v>27</v>
      </c>
    </row>
    <row r="372" spans="1:19" x14ac:dyDescent="0.35">
      <c r="A372" t="s">
        <v>793</v>
      </c>
      <c r="B372" t="s">
        <v>794</v>
      </c>
      <c r="C372" t="s">
        <v>31</v>
      </c>
      <c r="D372">
        <v>39</v>
      </c>
      <c r="E372" t="s">
        <v>55</v>
      </c>
      <c r="F372" t="s">
        <v>33</v>
      </c>
      <c r="G372" t="s">
        <v>24</v>
      </c>
      <c r="H372" t="s">
        <v>49</v>
      </c>
      <c r="I372">
        <v>45</v>
      </c>
      <c r="J372">
        <v>68842</v>
      </c>
      <c r="K372" t="s">
        <v>45</v>
      </c>
      <c r="L372">
        <v>5</v>
      </c>
      <c r="M372">
        <v>37</v>
      </c>
      <c r="N372">
        <v>6</v>
      </c>
      <c r="O372" t="s">
        <v>27</v>
      </c>
      <c r="P372" t="s">
        <v>28</v>
      </c>
      <c r="Q372">
        <v>5</v>
      </c>
      <c r="R372" t="s">
        <v>27</v>
      </c>
      <c r="S372" t="s">
        <v>27</v>
      </c>
    </row>
    <row r="373" spans="1:19" x14ac:dyDescent="0.35">
      <c r="A373" t="s">
        <v>795</v>
      </c>
      <c r="B373" t="s">
        <v>796</v>
      </c>
      <c r="C373" t="s">
        <v>21</v>
      </c>
      <c r="D373">
        <v>43</v>
      </c>
      <c r="E373" t="s">
        <v>55</v>
      </c>
      <c r="F373" t="s">
        <v>64</v>
      </c>
      <c r="G373" t="s">
        <v>24</v>
      </c>
      <c r="H373" t="s">
        <v>131</v>
      </c>
      <c r="I373">
        <v>17</v>
      </c>
      <c r="J373">
        <v>60376</v>
      </c>
      <c r="K373" t="s">
        <v>45</v>
      </c>
      <c r="L373">
        <v>3</v>
      </c>
      <c r="M373">
        <v>32</v>
      </c>
      <c r="N373">
        <v>3</v>
      </c>
      <c r="O373" t="s">
        <v>28</v>
      </c>
      <c r="P373" t="s">
        <v>28</v>
      </c>
      <c r="Q373">
        <v>3</v>
      </c>
      <c r="R373" t="s">
        <v>27</v>
      </c>
      <c r="S373" t="s">
        <v>27</v>
      </c>
    </row>
    <row r="374" spans="1:19" x14ac:dyDescent="0.35">
      <c r="A374" t="s">
        <v>797</v>
      </c>
      <c r="B374" t="s">
        <v>798</v>
      </c>
      <c r="C374" t="s">
        <v>21</v>
      </c>
      <c r="D374">
        <v>41</v>
      </c>
      <c r="E374" t="s">
        <v>55</v>
      </c>
      <c r="F374" t="s">
        <v>43</v>
      </c>
      <c r="G374" t="s">
        <v>24</v>
      </c>
      <c r="H374" t="s">
        <v>131</v>
      </c>
      <c r="I374">
        <v>13</v>
      </c>
      <c r="J374">
        <v>74914</v>
      </c>
      <c r="K374" t="s">
        <v>45</v>
      </c>
      <c r="L374">
        <v>7</v>
      </c>
      <c r="M374">
        <v>21</v>
      </c>
      <c r="N374">
        <v>2</v>
      </c>
      <c r="O374" t="s">
        <v>28</v>
      </c>
      <c r="P374" t="s">
        <v>27</v>
      </c>
      <c r="Q374">
        <v>5</v>
      </c>
      <c r="R374" t="s">
        <v>28</v>
      </c>
      <c r="S374" t="s">
        <v>27</v>
      </c>
    </row>
    <row r="375" spans="1:19" x14ac:dyDescent="0.35">
      <c r="A375" t="s">
        <v>799</v>
      </c>
      <c r="B375" t="s">
        <v>800</v>
      </c>
      <c r="C375" t="s">
        <v>21</v>
      </c>
      <c r="D375">
        <v>29</v>
      </c>
      <c r="E375" t="s">
        <v>55</v>
      </c>
      <c r="F375" t="s">
        <v>43</v>
      </c>
      <c r="G375" t="s">
        <v>24</v>
      </c>
      <c r="H375" t="s">
        <v>61</v>
      </c>
      <c r="I375">
        <v>3</v>
      </c>
      <c r="J375">
        <v>58101</v>
      </c>
      <c r="K375" t="s">
        <v>35</v>
      </c>
      <c r="L375">
        <v>7</v>
      </c>
      <c r="M375">
        <v>14</v>
      </c>
      <c r="N375">
        <v>6</v>
      </c>
      <c r="O375" t="s">
        <v>27</v>
      </c>
      <c r="P375" t="s">
        <v>28</v>
      </c>
      <c r="Q375">
        <v>4</v>
      </c>
      <c r="R375" t="s">
        <v>27</v>
      </c>
      <c r="S375" t="s">
        <v>27</v>
      </c>
    </row>
    <row r="376" spans="1:19" x14ac:dyDescent="0.35">
      <c r="A376" t="s">
        <v>801</v>
      </c>
      <c r="B376" t="s">
        <v>802</v>
      </c>
      <c r="C376" t="s">
        <v>31</v>
      </c>
      <c r="D376">
        <v>27</v>
      </c>
      <c r="E376" t="s">
        <v>22</v>
      </c>
      <c r="F376" t="s">
        <v>33</v>
      </c>
      <c r="G376" t="s">
        <v>24</v>
      </c>
      <c r="H376" t="s">
        <v>25</v>
      </c>
      <c r="I376">
        <v>2</v>
      </c>
      <c r="J376">
        <v>48447</v>
      </c>
      <c r="K376" t="s">
        <v>45</v>
      </c>
      <c r="L376">
        <v>1</v>
      </c>
      <c r="M376">
        <v>30</v>
      </c>
      <c r="N376">
        <v>7</v>
      </c>
      <c r="O376" t="s">
        <v>28</v>
      </c>
      <c r="P376" t="s">
        <v>28</v>
      </c>
      <c r="Q376">
        <v>5</v>
      </c>
      <c r="R376" t="s">
        <v>27</v>
      </c>
      <c r="S376" t="s">
        <v>27</v>
      </c>
    </row>
    <row r="377" spans="1:19" x14ac:dyDescent="0.35">
      <c r="A377" t="s">
        <v>803</v>
      </c>
      <c r="B377" t="s">
        <v>804</v>
      </c>
      <c r="C377" t="s">
        <v>31</v>
      </c>
      <c r="D377">
        <v>50</v>
      </c>
      <c r="E377" t="s">
        <v>38</v>
      </c>
      <c r="F377" t="s">
        <v>39</v>
      </c>
      <c r="G377" t="s">
        <v>24</v>
      </c>
      <c r="H377" t="s">
        <v>25</v>
      </c>
      <c r="I377">
        <v>21</v>
      </c>
      <c r="J377">
        <v>74538</v>
      </c>
      <c r="K377" t="s">
        <v>45</v>
      </c>
      <c r="L377">
        <v>5</v>
      </c>
      <c r="M377">
        <v>33</v>
      </c>
      <c r="N377">
        <v>8</v>
      </c>
      <c r="O377" t="s">
        <v>27</v>
      </c>
      <c r="P377" t="s">
        <v>27</v>
      </c>
      <c r="Q377">
        <v>5</v>
      </c>
      <c r="R377" t="s">
        <v>27</v>
      </c>
      <c r="S377" t="s">
        <v>27</v>
      </c>
    </row>
    <row r="378" spans="1:19" x14ac:dyDescent="0.35">
      <c r="A378" t="s">
        <v>805</v>
      </c>
      <c r="B378" t="s">
        <v>806</v>
      </c>
      <c r="C378" t="s">
        <v>31</v>
      </c>
      <c r="D378">
        <v>48</v>
      </c>
      <c r="E378" t="s">
        <v>38</v>
      </c>
      <c r="F378" t="s">
        <v>33</v>
      </c>
      <c r="G378" t="s">
        <v>24</v>
      </c>
      <c r="H378" t="s">
        <v>61</v>
      </c>
      <c r="I378">
        <v>13</v>
      </c>
      <c r="J378">
        <v>55444</v>
      </c>
      <c r="K378" t="s">
        <v>26</v>
      </c>
      <c r="L378">
        <v>4</v>
      </c>
      <c r="M378">
        <v>26</v>
      </c>
      <c r="N378">
        <v>3</v>
      </c>
      <c r="O378" t="s">
        <v>27</v>
      </c>
      <c r="P378" t="s">
        <v>27</v>
      </c>
      <c r="Q378">
        <v>5</v>
      </c>
      <c r="R378" t="s">
        <v>27</v>
      </c>
      <c r="S378" t="s">
        <v>27</v>
      </c>
    </row>
    <row r="379" spans="1:19" x14ac:dyDescent="0.35">
      <c r="A379" t="s">
        <v>807</v>
      </c>
      <c r="B379" t="s">
        <v>808</v>
      </c>
      <c r="C379" t="s">
        <v>21</v>
      </c>
      <c r="D379">
        <v>33</v>
      </c>
      <c r="E379" t="s">
        <v>38</v>
      </c>
      <c r="F379" t="s">
        <v>43</v>
      </c>
      <c r="G379" t="s">
        <v>24</v>
      </c>
      <c r="H379" t="s">
        <v>34</v>
      </c>
      <c r="I379">
        <v>10</v>
      </c>
      <c r="J379">
        <v>71651</v>
      </c>
      <c r="K379" t="s">
        <v>26</v>
      </c>
      <c r="L379">
        <v>10</v>
      </c>
      <c r="M379">
        <v>24</v>
      </c>
      <c r="N379">
        <v>4</v>
      </c>
      <c r="O379" t="s">
        <v>28</v>
      </c>
      <c r="P379" t="s">
        <v>28</v>
      </c>
      <c r="Q379">
        <v>5</v>
      </c>
      <c r="R379" t="s">
        <v>28</v>
      </c>
      <c r="S379" t="s">
        <v>27</v>
      </c>
    </row>
    <row r="380" spans="1:19" x14ac:dyDescent="0.35">
      <c r="A380" t="s">
        <v>809</v>
      </c>
      <c r="B380" t="s">
        <v>810</v>
      </c>
      <c r="C380" t="s">
        <v>31</v>
      </c>
      <c r="D380">
        <v>44</v>
      </c>
      <c r="E380" t="s">
        <v>22</v>
      </c>
      <c r="F380" t="s">
        <v>48</v>
      </c>
      <c r="G380" t="s">
        <v>24</v>
      </c>
      <c r="H380" t="s">
        <v>49</v>
      </c>
      <c r="I380">
        <v>16</v>
      </c>
      <c r="J380">
        <v>41449</v>
      </c>
      <c r="K380" t="s">
        <v>45</v>
      </c>
      <c r="L380">
        <v>9</v>
      </c>
      <c r="M380">
        <v>19</v>
      </c>
      <c r="N380">
        <v>4</v>
      </c>
      <c r="O380" t="s">
        <v>27</v>
      </c>
      <c r="P380" t="s">
        <v>28</v>
      </c>
      <c r="Q380">
        <v>1</v>
      </c>
      <c r="R380" t="s">
        <v>28</v>
      </c>
      <c r="S380" t="s">
        <v>27</v>
      </c>
    </row>
    <row r="381" spans="1:19" x14ac:dyDescent="0.35">
      <c r="A381" t="s">
        <v>811</v>
      </c>
      <c r="B381" t="s">
        <v>812</v>
      </c>
      <c r="C381" t="s">
        <v>31</v>
      </c>
      <c r="D381">
        <v>31</v>
      </c>
      <c r="E381" t="s">
        <v>38</v>
      </c>
      <c r="F381" t="s">
        <v>39</v>
      </c>
      <c r="G381" t="s">
        <v>24</v>
      </c>
      <c r="H381" t="s">
        <v>61</v>
      </c>
      <c r="I381">
        <v>7</v>
      </c>
      <c r="J381">
        <v>62517</v>
      </c>
      <c r="K381" t="s">
        <v>26</v>
      </c>
      <c r="L381">
        <v>1</v>
      </c>
      <c r="M381">
        <v>37</v>
      </c>
      <c r="N381">
        <v>3</v>
      </c>
      <c r="O381" t="s">
        <v>27</v>
      </c>
      <c r="P381" t="s">
        <v>27</v>
      </c>
      <c r="Q381">
        <v>5</v>
      </c>
      <c r="R381" t="s">
        <v>27</v>
      </c>
      <c r="S381" t="s">
        <v>27</v>
      </c>
    </row>
    <row r="382" spans="1:19" x14ac:dyDescent="0.35">
      <c r="A382" t="s">
        <v>813</v>
      </c>
      <c r="B382" t="s">
        <v>814</v>
      </c>
      <c r="C382" t="s">
        <v>21</v>
      </c>
      <c r="D382">
        <v>48</v>
      </c>
      <c r="E382" t="s">
        <v>55</v>
      </c>
      <c r="F382" t="s">
        <v>39</v>
      </c>
      <c r="G382" t="s">
        <v>44</v>
      </c>
      <c r="H382" t="s">
        <v>25</v>
      </c>
      <c r="I382">
        <v>20</v>
      </c>
      <c r="J382">
        <v>72635</v>
      </c>
      <c r="K382" t="s">
        <v>35</v>
      </c>
      <c r="L382">
        <v>8</v>
      </c>
      <c r="M382">
        <v>13</v>
      </c>
      <c r="N382">
        <v>7</v>
      </c>
      <c r="O382" t="s">
        <v>27</v>
      </c>
      <c r="P382" t="s">
        <v>28</v>
      </c>
      <c r="Q382">
        <v>4</v>
      </c>
      <c r="R382" t="s">
        <v>27</v>
      </c>
      <c r="S382" t="s">
        <v>28</v>
      </c>
    </row>
    <row r="383" spans="1:19" x14ac:dyDescent="0.35">
      <c r="A383" t="s">
        <v>815</v>
      </c>
      <c r="B383" t="s">
        <v>816</v>
      </c>
      <c r="C383" t="s">
        <v>31</v>
      </c>
      <c r="D383">
        <v>21</v>
      </c>
      <c r="E383" t="s">
        <v>38</v>
      </c>
      <c r="F383" t="s">
        <v>23</v>
      </c>
      <c r="G383" t="s">
        <v>24</v>
      </c>
      <c r="H383" t="s">
        <v>52</v>
      </c>
      <c r="I383">
        <v>0</v>
      </c>
      <c r="J383">
        <v>65262</v>
      </c>
      <c r="K383" t="s">
        <v>26</v>
      </c>
      <c r="L383">
        <v>1</v>
      </c>
      <c r="M383">
        <v>32</v>
      </c>
      <c r="N383">
        <v>3</v>
      </c>
      <c r="O383" t="s">
        <v>27</v>
      </c>
      <c r="P383" t="s">
        <v>28</v>
      </c>
      <c r="Q383">
        <v>3</v>
      </c>
      <c r="R383" t="s">
        <v>27</v>
      </c>
      <c r="S383" t="s">
        <v>28</v>
      </c>
    </row>
    <row r="384" spans="1:19" x14ac:dyDescent="0.35">
      <c r="A384" t="s">
        <v>817</v>
      </c>
      <c r="B384" t="s">
        <v>818</v>
      </c>
      <c r="C384" t="s">
        <v>31</v>
      </c>
      <c r="D384">
        <v>33</v>
      </c>
      <c r="E384" t="s">
        <v>55</v>
      </c>
      <c r="F384" t="s">
        <v>43</v>
      </c>
      <c r="G384" t="s">
        <v>24</v>
      </c>
      <c r="H384" t="s">
        <v>52</v>
      </c>
      <c r="I384">
        <v>10</v>
      </c>
      <c r="J384">
        <v>80206</v>
      </c>
      <c r="K384" t="s">
        <v>35</v>
      </c>
      <c r="L384">
        <v>9</v>
      </c>
      <c r="M384">
        <v>24</v>
      </c>
      <c r="N384">
        <v>3</v>
      </c>
      <c r="O384" t="s">
        <v>28</v>
      </c>
      <c r="P384" t="s">
        <v>28</v>
      </c>
      <c r="Q384">
        <v>5</v>
      </c>
      <c r="R384" t="s">
        <v>27</v>
      </c>
      <c r="S384" t="s">
        <v>27</v>
      </c>
    </row>
    <row r="385" spans="1:19" x14ac:dyDescent="0.35">
      <c r="A385" t="s">
        <v>819</v>
      </c>
      <c r="B385" t="s">
        <v>820</v>
      </c>
      <c r="C385" t="s">
        <v>31</v>
      </c>
      <c r="D385">
        <v>39</v>
      </c>
      <c r="E385" t="s">
        <v>55</v>
      </c>
      <c r="F385" t="s">
        <v>23</v>
      </c>
      <c r="G385" t="s">
        <v>24</v>
      </c>
      <c r="H385" t="s">
        <v>131</v>
      </c>
      <c r="I385">
        <v>8</v>
      </c>
      <c r="J385">
        <v>74285</v>
      </c>
      <c r="K385" t="s">
        <v>45</v>
      </c>
      <c r="L385">
        <v>7</v>
      </c>
      <c r="M385">
        <v>30</v>
      </c>
      <c r="N385">
        <v>6</v>
      </c>
      <c r="O385" t="s">
        <v>28</v>
      </c>
      <c r="P385" t="s">
        <v>28</v>
      </c>
      <c r="Q385">
        <v>3</v>
      </c>
      <c r="R385" t="s">
        <v>27</v>
      </c>
      <c r="S385" t="s">
        <v>28</v>
      </c>
    </row>
    <row r="386" spans="1:19" x14ac:dyDescent="0.35">
      <c r="A386" t="s">
        <v>821</v>
      </c>
      <c r="B386" t="s">
        <v>822</v>
      </c>
      <c r="C386" t="s">
        <v>21</v>
      </c>
      <c r="D386">
        <v>34</v>
      </c>
      <c r="E386" t="s">
        <v>22</v>
      </c>
      <c r="F386" t="s">
        <v>48</v>
      </c>
      <c r="G386" t="s">
        <v>24</v>
      </c>
      <c r="H386" t="s">
        <v>52</v>
      </c>
      <c r="I386">
        <v>7</v>
      </c>
      <c r="J386">
        <v>51392</v>
      </c>
      <c r="K386" t="s">
        <v>45</v>
      </c>
      <c r="L386">
        <v>7</v>
      </c>
      <c r="M386">
        <v>41</v>
      </c>
      <c r="N386">
        <v>7</v>
      </c>
      <c r="O386" t="s">
        <v>27</v>
      </c>
      <c r="P386" t="s">
        <v>28</v>
      </c>
      <c r="Q386">
        <v>3</v>
      </c>
      <c r="R386" t="s">
        <v>28</v>
      </c>
      <c r="S386" t="s">
        <v>28</v>
      </c>
    </row>
    <row r="387" spans="1:19" x14ac:dyDescent="0.35">
      <c r="A387" t="s">
        <v>823</v>
      </c>
      <c r="B387" t="s">
        <v>824</v>
      </c>
      <c r="C387" t="s">
        <v>31</v>
      </c>
      <c r="D387">
        <v>44</v>
      </c>
      <c r="E387" t="s">
        <v>55</v>
      </c>
      <c r="F387" t="s">
        <v>60</v>
      </c>
      <c r="G387" t="s">
        <v>24</v>
      </c>
      <c r="H387" t="s">
        <v>52</v>
      </c>
      <c r="I387">
        <v>14</v>
      </c>
      <c r="J387">
        <v>63948</v>
      </c>
      <c r="K387" t="s">
        <v>45</v>
      </c>
      <c r="L387">
        <v>4</v>
      </c>
      <c r="M387">
        <v>25</v>
      </c>
      <c r="N387">
        <v>4</v>
      </c>
      <c r="O387" t="s">
        <v>28</v>
      </c>
      <c r="P387" t="s">
        <v>28</v>
      </c>
      <c r="Q387">
        <v>1</v>
      </c>
      <c r="R387" t="s">
        <v>28</v>
      </c>
      <c r="S387" t="s">
        <v>27</v>
      </c>
    </row>
    <row r="388" spans="1:19" x14ac:dyDescent="0.35">
      <c r="A388" t="s">
        <v>825</v>
      </c>
      <c r="B388" t="s">
        <v>826</v>
      </c>
      <c r="C388" t="s">
        <v>21</v>
      </c>
      <c r="D388">
        <v>28</v>
      </c>
      <c r="E388" t="s">
        <v>55</v>
      </c>
      <c r="F388" t="s">
        <v>48</v>
      </c>
      <c r="G388" t="s">
        <v>24</v>
      </c>
      <c r="H388" t="s">
        <v>49</v>
      </c>
      <c r="I388">
        <v>5</v>
      </c>
      <c r="J388">
        <v>52056</v>
      </c>
      <c r="K388" t="s">
        <v>35</v>
      </c>
      <c r="L388">
        <v>7</v>
      </c>
      <c r="M388">
        <v>2</v>
      </c>
      <c r="N388">
        <v>0</v>
      </c>
      <c r="O388" t="s">
        <v>27</v>
      </c>
      <c r="P388" t="s">
        <v>28</v>
      </c>
      <c r="Q388">
        <v>3</v>
      </c>
      <c r="R388" t="s">
        <v>27</v>
      </c>
      <c r="S388" t="s">
        <v>27</v>
      </c>
    </row>
    <row r="389" spans="1:19" x14ac:dyDescent="0.35">
      <c r="A389" t="s">
        <v>827</v>
      </c>
      <c r="B389" t="s">
        <v>828</v>
      </c>
      <c r="C389" t="s">
        <v>21</v>
      </c>
      <c r="D389">
        <v>49</v>
      </c>
      <c r="E389" t="s">
        <v>55</v>
      </c>
      <c r="F389" t="s">
        <v>33</v>
      </c>
      <c r="G389" t="s">
        <v>44</v>
      </c>
      <c r="H389" t="s">
        <v>131</v>
      </c>
      <c r="I389">
        <v>21</v>
      </c>
      <c r="J389">
        <v>72681</v>
      </c>
      <c r="K389" t="s">
        <v>45</v>
      </c>
      <c r="L389">
        <v>8</v>
      </c>
      <c r="M389">
        <v>25</v>
      </c>
      <c r="N389">
        <v>4</v>
      </c>
      <c r="O389" t="s">
        <v>28</v>
      </c>
      <c r="P389" t="s">
        <v>28</v>
      </c>
      <c r="Q389">
        <v>1</v>
      </c>
      <c r="R389" t="s">
        <v>28</v>
      </c>
      <c r="S389" t="s">
        <v>27</v>
      </c>
    </row>
    <row r="390" spans="1:19" x14ac:dyDescent="0.35">
      <c r="A390" t="s">
        <v>829</v>
      </c>
      <c r="B390" t="s">
        <v>830</v>
      </c>
      <c r="C390" t="s">
        <v>21</v>
      </c>
      <c r="D390">
        <v>44</v>
      </c>
      <c r="E390" t="s">
        <v>55</v>
      </c>
      <c r="F390" t="s">
        <v>23</v>
      </c>
      <c r="G390" t="s">
        <v>24</v>
      </c>
      <c r="H390" t="s">
        <v>52</v>
      </c>
      <c r="I390">
        <v>11</v>
      </c>
      <c r="J390">
        <v>69411</v>
      </c>
      <c r="K390" t="s">
        <v>26</v>
      </c>
      <c r="L390">
        <v>8</v>
      </c>
      <c r="M390">
        <v>0</v>
      </c>
      <c r="N390">
        <v>4</v>
      </c>
      <c r="O390" t="s">
        <v>28</v>
      </c>
      <c r="P390" t="s">
        <v>28</v>
      </c>
      <c r="Q390">
        <v>3</v>
      </c>
      <c r="R390" t="s">
        <v>27</v>
      </c>
      <c r="S390" t="s">
        <v>27</v>
      </c>
    </row>
    <row r="391" spans="1:19" x14ac:dyDescent="0.35">
      <c r="A391" t="s">
        <v>831</v>
      </c>
      <c r="B391" t="s">
        <v>832</v>
      </c>
      <c r="C391" t="s">
        <v>21</v>
      </c>
      <c r="D391">
        <v>24</v>
      </c>
      <c r="E391" t="s">
        <v>22</v>
      </c>
      <c r="F391" t="s">
        <v>33</v>
      </c>
      <c r="G391" t="s">
        <v>24</v>
      </c>
      <c r="H391" t="s">
        <v>131</v>
      </c>
      <c r="I391">
        <v>2</v>
      </c>
      <c r="J391">
        <v>52841</v>
      </c>
      <c r="K391" t="s">
        <v>40</v>
      </c>
      <c r="L391">
        <v>8</v>
      </c>
      <c r="M391">
        <v>38</v>
      </c>
      <c r="N391">
        <v>3</v>
      </c>
      <c r="O391" t="s">
        <v>28</v>
      </c>
      <c r="P391" t="s">
        <v>27</v>
      </c>
      <c r="Q391">
        <v>2</v>
      </c>
      <c r="R391" t="s">
        <v>27</v>
      </c>
      <c r="S391" t="s">
        <v>27</v>
      </c>
    </row>
    <row r="392" spans="1:19" x14ac:dyDescent="0.35">
      <c r="A392" t="s">
        <v>833</v>
      </c>
      <c r="B392" t="s">
        <v>834</v>
      </c>
      <c r="C392" t="s">
        <v>31</v>
      </c>
      <c r="D392">
        <v>28</v>
      </c>
      <c r="E392" t="s">
        <v>38</v>
      </c>
      <c r="F392" t="s">
        <v>43</v>
      </c>
      <c r="G392" t="s">
        <v>69</v>
      </c>
      <c r="H392" t="s">
        <v>52</v>
      </c>
      <c r="I392">
        <v>5</v>
      </c>
      <c r="J392">
        <v>80249</v>
      </c>
      <c r="K392" t="s">
        <v>40</v>
      </c>
      <c r="L392">
        <v>10</v>
      </c>
      <c r="M392">
        <v>13</v>
      </c>
      <c r="N392">
        <v>4</v>
      </c>
      <c r="O392" t="s">
        <v>28</v>
      </c>
      <c r="P392" t="s">
        <v>27</v>
      </c>
      <c r="Q392">
        <v>1</v>
      </c>
      <c r="R392" t="s">
        <v>27</v>
      </c>
      <c r="S392" t="s">
        <v>27</v>
      </c>
    </row>
    <row r="393" spans="1:19" x14ac:dyDescent="0.35">
      <c r="A393" t="s">
        <v>835</v>
      </c>
      <c r="B393" t="s">
        <v>836</v>
      </c>
      <c r="C393" t="s">
        <v>21</v>
      </c>
      <c r="D393">
        <v>49</v>
      </c>
      <c r="E393" t="s">
        <v>55</v>
      </c>
      <c r="F393" t="s">
        <v>23</v>
      </c>
      <c r="G393" t="s">
        <v>24</v>
      </c>
      <c r="H393" t="s">
        <v>52</v>
      </c>
      <c r="I393">
        <v>16</v>
      </c>
      <c r="J393">
        <v>82000</v>
      </c>
      <c r="K393" t="s">
        <v>26</v>
      </c>
      <c r="L393">
        <v>3</v>
      </c>
      <c r="M393">
        <v>48</v>
      </c>
      <c r="N393">
        <v>6</v>
      </c>
      <c r="O393" t="s">
        <v>27</v>
      </c>
      <c r="P393" t="s">
        <v>27</v>
      </c>
      <c r="Q393">
        <v>1</v>
      </c>
      <c r="R393" t="s">
        <v>27</v>
      </c>
      <c r="S393" t="s">
        <v>27</v>
      </c>
    </row>
    <row r="394" spans="1:19" x14ac:dyDescent="0.35">
      <c r="A394" t="s">
        <v>837</v>
      </c>
      <c r="B394" t="s">
        <v>838</v>
      </c>
      <c r="C394" t="s">
        <v>21</v>
      </c>
      <c r="D394">
        <v>41</v>
      </c>
      <c r="E394" t="s">
        <v>38</v>
      </c>
      <c r="F394" t="s">
        <v>48</v>
      </c>
      <c r="G394" t="s">
        <v>24</v>
      </c>
      <c r="H394" t="s">
        <v>61</v>
      </c>
      <c r="I394">
        <v>13</v>
      </c>
      <c r="J394">
        <v>40436</v>
      </c>
      <c r="K394" t="s">
        <v>35</v>
      </c>
      <c r="L394">
        <v>6</v>
      </c>
      <c r="M394">
        <v>28</v>
      </c>
      <c r="N394">
        <v>7</v>
      </c>
      <c r="O394" t="s">
        <v>27</v>
      </c>
      <c r="P394" t="s">
        <v>28</v>
      </c>
      <c r="Q394">
        <v>2</v>
      </c>
      <c r="R394" t="s">
        <v>27</v>
      </c>
      <c r="S394" t="s">
        <v>27</v>
      </c>
    </row>
    <row r="395" spans="1:19" x14ac:dyDescent="0.35">
      <c r="A395" t="s">
        <v>839</v>
      </c>
      <c r="B395" t="s">
        <v>840</v>
      </c>
      <c r="C395" t="s">
        <v>21</v>
      </c>
      <c r="D395">
        <v>41</v>
      </c>
      <c r="E395" t="s">
        <v>55</v>
      </c>
      <c r="F395" t="s">
        <v>60</v>
      </c>
      <c r="G395" t="s">
        <v>69</v>
      </c>
      <c r="H395" t="s">
        <v>52</v>
      </c>
      <c r="I395">
        <v>11</v>
      </c>
      <c r="J395">
        <v>70735</v>
      </c>
      <c r="K395" t="s">
        <v>35</v>
      </c>
      <c r="L395">
        <v>7</v>
      </c>
      <c r="M395">
        <v>42</v>
      </c>
      <c r="N395">
        <v>2</v>
      </c>
      <c r="O395" t="s">
        <v>27</v>
      </c>
      <c r="P395" t="s">
        <v>28</v>
      </c>
      <c r="Q395">
        <v>5</v>
      </c>
      <c r="R395" t="s">
        <v>27</v>
      </c>
      <c r="S395" t="s">
        <v>27</v>
      </c>
    </row>
    <row r="396" spans="1:19" x14ac:dyDescent="0.35">
      <c r="A396" t="s">
        <v>841</v>
      </c>
      <c r="B396" t="s">
        <v>842</v>
      </c>
      <c r="C396" t="s">
        <v>31</v>
      </c>
      <c r="D396">
        <v>53</v>
      </c>
      <c r="E396" t="s">
        <v>55</v>
      </c>
      <c r="F396" t="s">
        <v>23</v>
      </c>
      <c r="G396" t="s">
        <v>24</v>
      </c>
      <c r="H396" t="s">
        <v>70</v>
      </c>
      <c r="I396">
        <v>26</v>
      </c>
      <c r="J396">
        <v>82000</v>
      </c>
      <c r="K396" t="s">
        <v>45</v>
      </c>
      <c r="L396">
        <v>6</v>
      </c>
      <c r="M396">
        <v>33</v>
      </c>
      <c r="N396">
        <v>4</v>
      </c>
      <c r="O396" t="s">
        <v>28</v>
      </c>
      <c r="P396" t="s">
        <v>28</v>
      </c>
      <c r="Q396">
        <v>2</v>
      </c>
      <c r="R396" t="s">
        <v>27</v>
      </c>
      <c r="S396" t="s">
        <v>27</v>
      </c>
    </row>
    <row r="397" spans="1:19" x14ac:dyDescent="0.35">
      <c r="A397" t="s">
        <v>843</v>
      </c>
      <c r="B397" t="s">
        <v>844</v>
      </c>
      <c r="C397" t="s">
        <v>21</v>
      </c>
      <c r="D397">
        <v>33</v>
      </c>
      <c r="E397" t="s">
        <v>22</v>
      </c>
      <c r="F397" t="s">
        <v>48</v>
      </c>
      <c r="G397" t="s">
        <v>24</v>
      </c>
      <c r="H397" t="s">
        <v>49</v>
      </c>
      <c r="I397">
        <v>8</v>
      </c>
      <c r="J397">
        <v>45385</v>
      </c>
      <c r="K397" t="s">
        <v>45</v>
      </c>
      <c r="L397">
        <v>8</v>
      </c>
      <c r="M397">
        <v>30</v>
      </c>
      <c r="N397">
        <v>3</v>
      </c>
      <c r="O397" t="s">
        <v>28</v>
      </c>
      <c r="P397" t="s">
        <v>28</v>
      </c>
      <c r="Q397">
        <v>4</v>
      </c>
      <c r="R397" t="s">
        <v>27</v>
      </c>
      <c r="S397" t="s">
        <v>27</v>
      </c>
    </row>
    <row r="398" spans="1:19" x14ac:dyDescent="0.35">
      <c r="A398" t="s">
        <v>845</v>
      </c>
      <c r="B398" t="s">
        <v>846</v>
      </c>
      <c r="C398" t="s">
        <v>21</v>
      </c>
      <c r="D398">
        <v>46</v>
      </c>
      <c r="E398" t="s">
        <v>32</v>
      </c>
      <c r="F398" t="s">
        <v>60</v>
      </c>
      <c r="G398" t="s">
        <v>24</v>
      </c>
      <c r="H398" t="s">
        <v>34</v>
      </c>
      <c r="I398">
        <v>19</v>
      </c>
      <c r="J398">
        <v>57173</v>
      </c>
      <c r="K398" t="s">
        <v>35</v>
      </c>
      <c r="L398">
        <v>1</v>
      </c>
      <c r="M398">
        <v>17</v>
      </c>
      <c r="N398">
        <v>1</v>
      </c>
      <c r="O398" t="s">
        <v>27</v>
      </c>
      <c r="P398" t="s">
        <v>27</v>
      </c>
      <c r="Q398">
        <v>1</v>
      </c>
      <c r="R398" t="s">
        <v>27</v>
      </c>
      <c r="S398" t="s">
        <v>27</v>
      </c>
    </row>
    <row r="399" spans="1:19" x14ac:dyDescent="0.35">
      <c r="A399" t="s">
        <v>847</v>
      </c>
      <c r="B399" t="s">
        <v>848</v>
      </c>
      <c r="C399" t="s">
        <v>21</v>
      </c>
      <c r="D399">
        <v>54</v>
      </c>
      <c r="E399" t="s">
        <v>38</v>
      </c>
      <c r="F399" t="s">
        <v>39</v>
      </c>
      <c r="G399" t="s">
        <v>24</v>
      </c>
      <c r="H399" t="s">
        <v>49</v>
      </c>
      <c r="I399">
        <v>12</v>
      </c>
      <c r="J399">
        <v>59483</v>
      </c>
      <c r="K399" t="s">
        <v>45</v>
      </c>
      <c r="L399">
        <v>6</v>
      </c>
      <c r="M399">
        <v>22</v>
      </c>
      <c r="N399">
        <v>7</v>
      </c>
      <c r="O399" t="s">
        <v>27</v>
      </c>
      <c r="P399" t="s">
        <v>27</v>
      </c>
      <c r="Q399">
        <v>3</v>
      </c>
      <c r="R399" t="s">
        <v>27</v>
      </c>
      <c r="S399" t="s">
        <v>27</v>
      </c>
    </row>
    <row r="400" spans="1:19" x14ac:dyDescent="0.35">
      <c r="A400" t="s">
        <v>849</v>
      </c>
      <c r="B400" t="s">
        <v>850</v>
      </c>
      <c r="C400" t="s">
        <v>31</v>
      </c>
      <c r="D400">
        <v>54</v>
      </c>
      <c r="E400" t="s">
        <v>55</v>
      </c>
      <c r="F400" t="s">
        <v>60</v>
      </c>
      <c r="G400" t="s">
        <v>44</v>
      </c>
      <c r="H400" t="s">
        <v>34</v>
      </c>
      <c r="I400">
        <v>17</v>
      </c>
      <c r="J400">
        <v>63142</v>
      </c>
      <c r="K400" t="s">
        <v>26</v>
      </c>
      <c r="L400">
        <v>6</v>
      </c>
      <c r="M400">
        <v>56</v>
      </c>
      <c r="N400">
        <v>5</v>
      </c>
      <c r="O400" t="s">
        <v>27</v>
      </c>
      <c r="P400" t="s">
        <v>27</v>
      </c>
      <c r="Q400">
        <v>4</v>
      </c>
      <c r="R400" t="s">
        <v>28</v>
      </c>
      <c r="S400" t="s">
        <v>27</v>
      </c>
    </row>
    <row r="401" spans="1:19" x14ac:dyDescent="0.35">
      <c r="A401" t="s">
        <v>851</v>
      </c>
      <c r="B401" t="s">
        <v>852</v>
      </c>
      <c r="C401" t="s">
        <v>21</v>
      </c>
      <c r="D401">
        <v>52</v>
      </c>
      <c r="E401" t="s">
        <v>55</v>
      </c>
      <c r="F401" t="s">
        <v>39</v>
      </c>
      <c r="G401" t="s">
        <v>24</v>
      </c>
      <c r="H401" t="s">
        <v>34</v>
      </c>
      <c r="I401">
        <v>24</v>
      </c>
      <c r="J401">
        <v>72847</v>
      </c>
      <c r="K401" t="s">
        <v>40</v>
      </c>
      <c r="L401">
        <v>9</v>
      </c>
      <c r="M401">
        <v>18</v>
      </c>
      <c r="N401">
        <v>7</v>
      </c>
      <c r="O401" t="s">
        <v>27</v>
      </c>
      <c r="P401" t="s">
        <v>27</v>
      </c>
      <c r="Q401">
        <v>5</v>
      </c>
      <c r="R401" t="s">
        <v>27</v>
      </c>
      <c r="S401" t="s">
        <v>27</v>
      </c>
    </row>
    <row r="402" spans="1:19" x14ac:dyDescent="0.35">
      <c r="A402" t="s">
        <v>853</v>
      </c>
      <c r="B402" t="s">
        <v>854</v>
      </c>
      <c r="C402" t="s">
        <v>21</v>
      </c>
      <c r="D402">
        <v>46</v>
      </c>
      <c r="E402" t="s">
        <v>55</v>
      </c>
      <c r="F402" t="s">
        <v>23</v>
      </c>
      <c r="G402" t="s">
        <v>24</v>
      </c>
      <c r="H402" t="s">
        <v>49</v>
      </c>
      <c r="I402">
        <v>21</v>
      </c>
      <c r="J402">
        <v>82000</v>
      </c>
      <c r="K402" t="s">
        <v>26</v>
      </c>
      <c r="L402">
        <v>2</v>
      </c>
      <c r="M402">
        <v>32</v>
      </c>
      <c r="N402">
        <v>5</v>
      </c>
      <c r="O402" t="s">
        <v>28</v>
      </c>
      <c r="P402" t="s">
        <v>28</v>
      </c>
      <c r="Q402">
        <v>4</v>
      </c>
      <c r="R402" t="s">
        <v>28</v>
      </c>
      <c r="S402" t="s">
        <v>27</v>
      </c>
    </row>
    <row r="403" spans="1:19" x14ac:dyDescent="0.35">
      <c r="A403" t="s">
        <v>855</v>
      </c>
      <c r="B403" t="s">
        <v>856</v>
      </c>
      <c r="C403" t="s">
        <v>31</v>
      </c>
      <c r="D403">
        <v>51</v>
      </c>
      <c r="E403" t="s">
        <v>22</v>
      </c>
      <c r="F403" t="s">
        <v>48</v>
      </c>
      <c r="G403" t="s">
        <v>24</v>
      </c>
      <c r="H403" t="s">
        <v>52</v>
      </c>
      <c r="I403">
        <v>14</v>
      </c>
      <c r="J403">
        <v>48614</v>
      </c>
      <c r="K403" t="s">
        <v>45</v>
      </c>
      <c r="L403">
        <v>6</v>
      </c>
      <c r="M403">
        <v>25</v>
      </c>
      <c r="N403">
        <v>4</v>
      </c>
      <c r="O403" t="s">
        <v>28</v>
      </c>
      <c r="P403" t="s">
        <v>27</v>
      </c>
      <c r="Q403">
        <v>3</v>
      </c>
      <c r="R403" t="s">
        <v>27</v>
      </c>
      <c r="S403" t="s">
        <v>27</v>
      </c>
    </row>
    <row r="404" spans="1:19" x14ac:dyDescent="0.35">
      <c r="A404" t="s">
        <v>857</v>
      </c>
      <c r="B404" t="s">
        <v>858</v>
      </c>
      <c r="C404" t="s">
        <v>21</v>
      </c>
      <c r="D404">
        <v>46</v>
      </c>
      <c r="E404" t="s">
        <v>38</v>
      </c>
      <c r="F404" t="s">
        <v>60</v>
      </c>
      <c r="G404" t="s">
        <v>24</v>
      </c>
      <c r="H404" t="s">
        <v>131</v>
      </c>
      <c r="I404">
        <v>14</v>
      </c>
      <c r="J404">
        <v>54569</v>
      </c>
      <c r="K404" t="s">
        <v>26</v>
      </c>
      <c r="L404">
        <v>6</v>
      </c>
      <c r="M404">
        <v>38</v>
      </c>
      <c r="N404">
        <v>6</v>
      </c>
      <c r="O404" t="s">
        <v>27</v>
      </c>
      <c r="P404" t="s">
        <v>27</v>
      </c>
      <c r="Q404">
        <v>3</v>
      </c>
      <c r="R404" t="s">
        <v>28</v>
      </c>
      <c r="S404" t="s">
        <v>27</v>
      </c>
    </row>
    <row r="405" spans="1:19" x14ac:dyDescent="0.35">
      <c r="A405" t="s">
        <v>859</v>
      </c>
      <c r="B405" t="s">
        <v>860</v>
      </c>
      <c r="C405" t="s">
        <v>31</v>
      </c>
      <c r="D405">
        <v>55</v>
      </c>
      <c r="E405" t="s">
        <v>22</v>
      </c>
      <c r="F405" t="s">
        <v>43</v>
      </c>
      <c r="G405" t="s">
        <v>24</v>
      </c>
      <c r="H405" t="s">
        <v>52</v>
      </c>
      <c r="I405">
        <v>13</v>
      </c>
      <c r="J405">
        <v>75388</v>
      </c>
      <c r="K405" t="s">
        <v>26</v>
      </c>
      <c r="L405">
        <v>8</v>
      </c>
      <c r="M405">
        <v>11</v>
      </c>
      <c r="N405">
        <v>6</v>
      </c>
      <c r="O405" t="s">
        <v>28</v>
      </c>
      <c r="P405" t="s">
        <v>27</v>
      </c>
      <c r="Q405">
        <v>5</v>
      </c>
      <c r="R405" t="s">
        <v>27</v>
      </c>
      <c r="S405" t="s">
        <v>27</v>
      </c>
    </row>
    <row r="406" spans="1:19" x14ac:dyDescent="0.35">
      <c r="A406" t="s">
        <v>861</v>
      </c>
      <c r="B406" t="s">
        <v>862</v>
      </c>
      <c r="C406" t="s">
        <v>31</v>
      </c>
      <c r="D406">
        <v>23</v>
      </c>
      <c r="E406" t="s">
        <v>55</v>
      </c>
      <c r="F406" t="s">
        <v>33</v>
      </c>
      <c r="G406" t="s">
        <v>24</v>
      </c>
      <c r="H406" t="s">
        <v>61</v>
      </c>
      <c r="I406">
        <v>1</v>
      </c>
      <c r="J406">
        <v>62894</v>
      </c>
      <c r="K406" t="s">
        <v>26</v>
      </c>
      <c r="L406">
        <v>4</v>
      </c>
      <c r="M406">
        <v>50</v>
      </c>
      <c r="N406">
        <v>3</v>
      </c>
      <c r="O406" t="s">
        <v>27</v>
      </c>
      <c r="P406" t="s">
        <v>28</v>
      </c>
      <c r="Q406">
        <v>3</v>
      </c>
      <c r="R406" t="s">
        <v>27</v>
      </c>
      <c r="S406" t="s">
        <v>27</v>
      </c>
    </row>
    <row r="407" spans="1:19" x14ac:dyDescent="0.35">
      <c r="A407" t="s">
        <v>863</v>
      </c>
      <c r="B407" t="s">
        <v>864</v>
      </c>
      <c r="C407" t="s">
        <v>31</v>
      </c>
      <c r="D407">
        <v>24</v>
      </c>
      <c r="E407" t="s">
        <v>38</v>
      </c>
      <c r="F407" t="s">
        <v>39</v>
      </c>
      <c r="G407" t="s">
        <v>24</v>
      </c>
      <c r="H407" t="s">
        <v>70</v>
      </c>
      <c r="I407">
        <v>1</v>
      </c>
      <c r="J407">
        <v>47847</v>
      </c>
      <c r="K407" t="s">
        <v>26</v>
      </c>
      <c r="L407">
        <v>8</v>
      </c>
      <c r="M407">
        <v>33</v>
      </c>
      <c r="N407">
        <v>2</v>
      </c>
      <c r="O407" t="s">
        <v>28</v>
      </c>
      <c r="P407" t="s">
        <v>27</v>
      </c>
      <c r="Q407">
        <v>1</v>
      </c>
      <c r="R407" t="s">
        <v>27</v>
      </c>
      <c r="S407" t="s">
        <v>27</v>
      </c>
    </row>
    <row r="408" spans="1:19" x14ac:dyDescent="0.35">
      <c r="A408" t="s">
        <v>865</v>
      </c>
      <c r="B408" t="s">
        <v>866</v>
      </c>
      <c r="C408" t="s">
        <v>31</v>
      </c>
      <c r="D408">
        <v>27</v>
      </c>
      <c r="E408" t="s">
        <v>22</v>
      </c>
      <c r="F408" t="s">
        <v>39</v>
      </c>
      <c r="G408" t="s">
        <v>44</v>
      </c>
      <c r="H408" t="s">
        <v>52</v>
      </c>
      <c r="I408">
        <v>2</v>
      </c>
      <c r="J408">
        <v>44820</v>
      </c>
      <c r="K408" t="s">
        <v>35</v>
      </c>
      <c r="L408">
        <v>5</v>
      </c>
      <c r="M408">
        <v>55</v>
      </c>
      <c r="N408">
        <v>5</v>
      </c>
      <c r="O408" t="s">
        <v>28</v>
      </c>
      <c r="P408" t="s">
        <v>28</v>
      </c>
      <c r="Q408">
        <v>2</v>
      </c>
      <c r="R408" t="s">
        <v>27</v>
      </c>
      <c r="S408" t="s">
        <v>27</v>
      </c>
    </row>
    <row r="409" spans="1:19" x14ac:dyDescent="0.35">
      <c r="A409" t="s">
        <v>867</v>
      </c>
      <c r="B409" t="s">
        <v>868</v>
      </c>
      <c r="C409" t="s">
        <v>21</v>
      </c>
      <c r="D409">
        <v>39</v>
      </c>
      <c r="E409" t="s">
        <v>32</v>
      </c>
      <c r="F409" t="s">
        <v>39</v>
      </c>
      <c r="G409" t="s">
        <v>69</v>
      </c>
      <c r="H409" t="s">
        <v>49</v>
      </c>
      <c r="I409">
        <v>13</v>
      </c>
      <c r="J409">
        <v>47882</v>
      </c>
      <c r="K409" t="s">
        <v>45</v>
      </c>
      <c r="L409">
        <v>2</v>
      </c>
      <c r="M409">
        <v>22</v>
      </c>
      <c r="N409">
        <v>7</v>
      </c>
      <c r="O409" t="s">
        <v>27</v>
      </c>
      <c r="P409" t="s">
        <v>28</v>
      </c>
      <c r="Q409">
        <v>3</v>
      </c>
      <c r="R409" t="s">
        <v>28</v>
      </c>
      <c r="S409" t="s">
        <v>28</v>
      </c>
    </row>
    <row r="410" spans="1:19" x14ac:dyDescent="0.35">
      <c r="A410" t="s">
        <v>869</v>
      </c>
      <c r="B410" t="s">
        <v>870</v>
      </c>
      <c r="C410" t="s">
        <v>21</v>
      </c>
      <c r="D410">
        <v>26</v>
      </c>
      <c r="E410" t="s">
        <v>38</v>
      </c>
      <c r="F410" t="s">
        <v>64</v>
      </c>
      <c r="G410" t="s">
        <v>69</v>
      </c>
      <c r="H410" t="s">
        <v>131</v>
      </c>
      <c r="I410">
        <v>4</v>
      </c>
      <c r="J410">
        <v>63685</v>
      </c>
      <c r="K410" t="s">
        <v>35</v>
      </c>
      <c r="L410">
        <v>2</v>
      </c>
      <c r="M410">
        <v>42</v>
      </c>
      <c r="N410">
        <v>5</v>
      </c>
      <c r="O410" t="s">
        <v>28</v>
      </c>
      <c r="P410" t="s">
        <v>27</v>
      </c>
      <c r="Q410">
        <v>3</v>
      </c>
      <c r="R410" t="s">
        <v>27</v>
      </c>
      <c r="S410" t="s">
        <v>27</v>
      </c>
    </row>
    <row r="411" spans="1:19" x14ac:dyDescent="0.35">
      <c r="A411" t="s">
        <v>871</v>
      </c>
      <c r="B411" t="s">
        <v>872</v>
      </c>
      <c r="C411" t="s">
        <v>21</v>
      </c>
      <c r="D411">
        <v>38</v>
      </c>
      <c r="E411" t="s">
        <v>38</v>
      </c>
      <c r="F411" t="s">
        <v>33</v>
      </c>
      <c r="G411" t="s">
        <v>24</v>
      </c>
      <c r="H411" t="s">
        <v>61</v>
      </c>
      <c r="I411">
        <v>11</v>
      </c>
      <c r="J411">
        <v>75432</v>
      </c>
      <c r="K411" t="s">
        <v>45</v>
      </c>
      <c r="L411">
        <v>3</v>
      </c>
      <c r="M411">
        <v>47</v>
      </c>
      <c r="N411">
        <v>0</v>
      </c>
      <c r="O411" t="s">
        <v>28</v>
      </c>
      <c r="P411" t="s">
        <v>27</v>
      </c>
      <c r="Q411">
        <v>4</v>
      </c>
      <c r="R411" t="s">
        <v>27</v>
      </c>
      <c r="S411" t="s">
        <v>27</v>
      </c>
    </row>
    <row r="412" spans="1:19" x14ac:dyDescent="0.35">
      <c r="A412" t="s">
        <v>873</v>
      </c>
      <c r="B412" t="s">
        <v>874</v>
      </c>
      <c r="C412" t="s">
        <v>31</v>
      </c>
      <c r="D412">
        <v>25</v>
      </c>
      <c r="E412" t="s">
        <v>22</v>
      </c>
      <c r="F412" t="s">
        <v>33</v>
      </c>
      <c r="G412" t="s">
        <v>24</v>
      </c>
      <c r="H412" t="s">
        <v>52</v>
      </c>
      <c r="I412">
        <v>2</v>
      </c>
      <c r="J412">
        <v>50669</v>
      </c>
      <c r="K412" t="s">
        <v>35</v>
      </c>
      <c r="L412">
        <v>4</v>
      </c>
      <c r="M412">
        <v>46</v>
      </c>
      <c r="N412">
        <v>5</v>
      </c>
      <c r="O412" t="s">
        <v>27</v>
      </c>
      <c r="P412" t="s">
        <v>27</v>
      </c>
      <c r="Q412">
        <v>4</v>
      </c>
      <c r="R412" t="s">
        <v>27</v>
      </c>
      <c r="S412" t="s">
        <v>28</v>
      </c>
    </row>
    <row r="413" spans="1:19" x14ac:dyDescent="0.35">
      <c r="A413" t="s">
        <v>875</v>
      </c>
      <c r="B413" t="s">
        <v>876</v>
      </c>
      <c r="C413" t="s">
        <v>31</v>
      </c>
      <c r="D413">
        <v>43</v>
      </c>
      <c r="E413" t="s">
        <v>55</v>
      </c>
      <c r="F413" t="s">
        <v>48</v>
      </c>
      <c r="G413" t="s">
        <v>24</v>
      </c>
      <c r="H413" t="s">
        <v>52</v>
      </c>
      <c r="I413">
        <v>15</v>
      </c>
      <c r="J413">
        <v>69181</v>
      </c>
      <c r="K413" t="s">
        <v>45</v>
      </c>
      <c r="L413">
        <v>6</v>
      </c>
      <c r="M413">
        <v>36</v>
      </c>
      <c r="N413">
        <v>0</v>
      </c>
      <c r="O413" t="s">
        <v>27</v>
      </c>
      <c r="P413" t="s">
        <v>28</v>
      </c>
      <c r="Q413">
        <v>3</v>
      </c>
      <c r="R413" t="s">
        <v>27</v>
      </c>
      <c r="S413" t="s">
        <v>27</v>
      </c>
    </row>
    <row r="414" spans="1:19" x14ac:dyDescent="0.35">
      <c r="A414" t="s">
        <v>877</v>
      </c>
      <c r="B414" t="s">
        <v>878</v>
      </c>
      <c r="C414" t="s">
        <v>31</v>
      </c>
      <c r="D414">
        <v>27</v>
      </c>
      <c r="E414" t="s">
        <v>38</v>
      </c>
      <c r="F414" t="s">
        <v>60</v>
      </c>
      <c r="G414" t="s">
        <v>24</v>
      </c>
      <c r="H414" t="s">
        <v>52</v>
      </c>
      <c r="I414">
        <v>5</v>
      </c>
      <c r="J414">
        <v>67798</v>
      </c>
      <c r="K414" t="s">
        <v>35</v>
      </c>
      <c r="L414">
        <v>9</v>
      </c>
      <c r="M414">
        <v>51</v>
      </c>
      <c r="N414">
        <v>2</v>
      </c>
      <c r="O414" t="s">
        <v>28</v>
      </c>
      <c r="P414" t="s">
        <v>28</v>
      </c>
      <c r="Q414">
        <v>5</v>
      </c>
      <c r="R414" t="s">
        <v>27</v>
      </c>
      <c r="S414" t="s">
        <v>27</v>
      </c>
    </row>
    <row r="415" spans="1:19" x14ac:dyDescent="0.35">
      <c r="A415" t="s">
        <v>879</v>
      </c>
      <c r="B415" t="s">
        <v>880</v>
      </c>
      <c r="C415" t="s">
        <v>21</v>
      </c>
      <c r="D415">
        <v>49</v>
      </c>
      <c r="E415" t="s">
        <v>55</v>
      </c>
      <c r="F415" t="s">
        <v>43</v>
      </c>
      <c r="G415" t="s">
        <v>24</v>
      </c>
      <c r="H415" t="s">
        <v>131</v>
      </c>
      <c r="I415">
        <v>12</v>
      </c>
      <c r="J415">
        <v>69295</v>
      </c>
      <c r="K415" t="s">
        <v>35</v>
      </c>
      <c r="L415">
        <v>10</v>
      </c>
      <c r="M415">
        <v>29</v>
      </c>
      <c r="N415">
        <v>6</v>
      </c>
      <c r="O415" t="s">
        <v>28</v>
      </c>
      <c r="P415" t="s">
        <v>28</v>
      </c>
      <c r="Q415">
        <v>5</v>
      </c>
      <c r="R415" t="s">
        <v>27</v>
      </c>
      <c r="S415" t="s">
        <v>28</v>
      </c>
    </row>
    <row r="416" spans="1:19" x14ac:dyDescent="0.35">
      <c r="A416" t="s">
        <v>881</v>
      </c>
      <c r="B416" t="s">
        <v>882</v>
      </c>
      <c r="C416" t="s">
        <v>31</v>
      </c>
      <c r="D416">
        <v>32</v>
      </c>
      <c r="E416" t="s">
        <v>32</v>
      </c>
      <c r="F416" t="s">
        <v>60</v>
      </c>
      <c r="G416" t="s">
        <v>24</v>
      </c>
      <c r="H416" t="s">
        <v>70</v>
      </c>
      <c r="I416">
        <v>5</v>
      </c>
      <c r="J416">
        <v>50402</v>
      </c>
      <c r="K416" t="s">
        <v>45</v>
      </c>
      <c r="L416">
        <v>9</v>
      </c>
      <c r="M416">
        <v>28</v>
      </c>
      <c r="N416">
        <v>4</v>
      </c>
      <c r="O416" t="s">
        <v>28</v>
      </c>
      <c r="P416" t="s">
        <v>28</v>
      </c>
      <c r="Q416">
        <v>3</v>
      </c>
      <c r="R416" t="s">
        <v>28</v>
      </c>
      <c r="S416" t="s">
        <v>27</v>
      </c>
    </row>
    <row r="417" spans="1:19" x14ac:dyDescent="0.35">
      <c r="A417" t="s">
        <v>883</v>
      </c>
      <c r="B417" t="s">
        <v>884</v>
      </c>
      <c r="C417" t="s">
        <v>31</v>
      </c>
      <c r="D417">
        <v>44</v>
      </c>
      <c r="E417" t="s">
        <v>38</v>
      </c>
      <c r="F417" t="s">
        <v>64</v>
      </c>
      <c r="G417" t="s">
        <v>24</v>
      </c>
      <c r="H417" t="s">
        <v>131</v>
      </c>
      <c r="I417">
        <v>17</v>
      </c>
      <c r="J417">
        <v>70896</v>
      </c>
      <c r="K417" t="s">
        <v>45</v>
      </c>
      <c r="L417">
        <v>4</v>
      </c>
      <c r="M417">
        <v>31</v>
      </c>
      <c r="N417">
        <v>4</v>
      </c>
      <c r="O417" t="s">
        <v>27</v>
      </c>
      <c r="P417" t="s">
        <v>28</v>
      </c>
      <c r="Q417">
        <v>4</v>
      </c>
      <c r="R417" t="s">
        <v>28</v>
      </c>
      <c r="S417" t="s">
        <v>27</v>
      </c>
    </row>
    <row r="418" spans="1:19" x14ac:dyDescent="0.35">
      <c r="A418" t="s">
        <v>885</v>
      </c>
      <c r="B418" t="s">
        <v>886</v>
      </c>
      <c r="C418" t="s">
        <v>31</v>
      </c>
      <c r="D418">
        <v>37</v>
      </c>
      <c r="E418" t="s">
        <v>55</v>
      </c>
      <c r="F418" t="s">
        <v>33</v>
      </c>
      <c r="G418" t="s">
        <v>24</v>
      </c>
      <c r="H418" t="s">
        <v>52</v>
      </c>
      <c r="I418">
        <v>9</v>
      </c>
      <c r="J418">
        <v>60921</v>
      </c>
      <c r="K418" t="s">
        <v>45</v>
      </c>
      <c r="L418">
        <v>4</v>
      </c>
      <c r="M418">
        <v>32</v>
      </c>
      <c r="N418">
        <v>2</v>
      </c>
      <c r="O418" t="s">
        <v>27</v>
      </c>
      <c r="P418" t="s">
        <v>28</v>
      </c>
      <c r="Q418">
        <v>2</v>
      </c>
      <c r="R418" t="s">
        <v>28</v>
      </c>
      <c r="S418" t="s">
        <v>27</v>
      </c>
    </row>
    <row r="419" spans="1:19" x14ac:dyDescent="0.35">
      <c r="A419" t="s">
        <v>887</v>
      </c>
      <c r="B419" t="s">
        <v>888</v>
      </c>
      <c r="C419" t="s">
        <v>21</v>
      </c>
      <c r="D419">
        <v>41</v>
      </c>
      <c r="E419" t="s">
        <v>38</v>
      </c>
      <c r="F419" t="s">
        <v>39</v>
      </c>
      <c r="G419" t="s">
        <v>24</v>
      </c>
      <c r="H419" t="s">
        <v>34</v>
      </c>
      <c r="I419">
        <v>13</v>
      </c>
      <c r="J419">
        <v>47308</v>
      </c>
      <c r="K419" t="s">
        <v>45</v>
      </c>
      <c r="L419">
        <v>8</v>
      </c>
      <c r="M419">
        <v>43</v>
      </c>
      <c r="N419">
        <v>0</v>
      </c>
      <c r="O419" t="s">
        <v>27</v>
      </c>
      <c r="P419" t="s">
        <v>28</v>
      </c>
      <c r="Q419">
        <v>2</v>
      </c>
      <c r="R419" t="s">
        <v>27</v>
      </c>
      <c r="S419" t="s">
        <v>27</v>
      </c>
    </row>
    <row r="420" spans="1:19" x14ac:dyDescent="0.35">
      <c r="A420" t="s">
        <v>889</v>
      </c>
      <c r="B420" t="s">
        <v>890</v>
      </c>
      <c r="C420" t="s">
        <v>21</v>
      </c>
      <c r="D420">
        <v>46</v>
      </c>
      <c r="E420" t="s">
        <v>55</v>
      </c>
      <c r="F420" t="s">
        <v>48</v>
      </c>
      <c r="G420" t="s">
        <v>24</v>
      </c>
      <c r="H420" t="s">
        <v>61</v>
      </c>
      <c r="I420">
        <v>16</v>
      </c>
      <c r="J420">
        <v>54060</v>
      </c>
      <c r="K420" t="s">
        <v>26</v>
      </c>
      <c r="L420">
        <v>2</v>
      </c>
      <c r="M420">
        <v>40</v>
      </c>
      <c r="N420">
        <v>4</v>
      </c>
      <c r="O420" t="s">
        <v>28</v>
      </c>
      <c r="P420" t="s">
        <v>28</v>
      </c>
      <c r="Q420">
        <v>5</v>
      </c>
      <c r="R420" t="s">
        <v>27</v>
      </c>
      <c r="S420" t="s">
        <v>28</v>
      </c>
    </row>
    <row r="421" spans="1:19" x14ac:dyDescent="0.35">
      <c r="A421" t="s">
        <v>891</v>
      </c>
      <c r="B421" t="s">
        <v>892</v>
      </c>
      <c r="C421" t="s">
        <v>31</v>
      </c>
      <c r="D421">
        <v>41</v>
      </c>
      <c r="E421" t="s">
        <v>55</v>
      </c>
      <c r="F421" t="s">
        <v>48</v>
      </c>
      <c r="G421" t="s">
        <v>69</v>
      </c>
      <c r="H421" t="s">
        <v>49</v>
      </c>
      <c r="I421">
        <v>8</v>
      </c>
      <c r="J421">
        <v>46418</v>
      </c>
      <c r="K421" t="s">
        <v>35</v>
      </c>
      <c r="L421">
        <v>1</v>
      </c>
      <c r="M421">
        <v>36</v>
      </c>
      <c r="N421">
        <v>5</v>
      </c>
      <c r="O421" t="s">
        <v>27</v>
      </c>
      <c r="P421" t="s">
        <v>28</v>
      </c>
      <c r="Q421">
        <v>4</v>
      </c>
      <c r="R421" t="s">
        <v>27</v>
      </c>
      <c r="S421" t="s">
        <v>27</v>
      </c>
    </row>
    <row r="422" spans="1:19" x14ac:dyDescent="0.35">
      <c r="A422" t="s">
        <v>893</v>
      </c>
      <c r="B422" t="s">
        <v>894</v>
      </c>
      <c r="C422" t="s">
        <v>21</v>
      </c>
      <c r="D422">
        <v>44</v>
      </c>
      <c r="E422" t="s">
        <v>38</v>
      </c>
      <c r="F422" t="s">
        <v>64</v>
      </c>
      <c r="G422" t="s">
        <v>24</v>
      </c>
      <c r="H422" t="s">
        <v>895</v>
      </c>
      <c r="I422">
        <v>17</v>
      </c>
      <c r="J422">
        <v>77220</v>
      </c>
      <c r="K422" t="s">
        <v>35</v>
      </c>
      <c r="L422">
        <v>2</v>
      </c>
      <c r="M422">
        <v>41</v>
      </c>
      <c r="N422">
        <v>6</v>
      </c>
      <c r="O422" t="s">
        <v>27</v>
      </c>
      <c r="P422" t="s">
        <v>28</v>
      </c>
      <c r="Q422">
        <v>2</v>
      </c>
      <c r="R422" t="s">
        <v>28</v>
      </c>
      <c r="S422" t="s">
        <v>28</v>
      </c>
    </row>
    <row r="423" spans="1:19" x14ac:dyDescent="0.35">
      <c r="A423" t="s">
        <v>896</v>
      </c>
      <c r="B423" t="s">
        <v>897</v>
      </c>
      <c r="C423" t="s">
        <v>31</v>
      </c>
      <c r="D423">
        <v>32</v>
      </c>
      <c r="E423" t="s">
        <v>38</v>
      </c>
      <c r="F423" t="s">
        <v>60</v>
      </c>
      <c r="G423" t="s">
        <v>69</v>
      </c>
      <c r="H423" t="s">
        <v>25</v>
      </c>
      <c r="I423">
        <v>7</v>
      </c>
      <c r="J423">
        <v>63398</v>
      </c>
      <c r="K423" t="s">
        <v>45</v>
      </c>
      <c r="L423">
        <v>4</v>
      </c>
      <c r="M423">
        <v>25</v>
      </c>
      <c r="N423">
        <v>4</v>
      </c>
      <c r="O423" t="s">
        <v>28</v>
      </c>
      <c r="P423" t="s">
        <v>27</v>
      </c>
      <c r="Q423">
        <v>4</v>
      </c>
      <c r="R423" t="s">
        <v>27</v>
      </c>
      <c r="S423" t="s">
        <v>28</v>
      </c>
    </row>
    <row r="424" spans="1:19" x14ac:dyDescent="0.35">
      <c r="A424" t="s">
        <v>898</v>
      </c>
      <c r="B424" t="s">
        <v>899</v>
      </c>
      <c r="C424" t="s">
        <v>31</v>
      </c>
      <c r="D424">
        <v>45</v>
      </c>
      <c r="E424" t="s">
        <v>55</v>
      </c>
      <c r="F424" t="s">
        <v>23</v>
      </c>
      <c r="G424" t="s">
        <v>24</v>
      </c>
      <c r="H424" t="s">
        <v>70</v>
      </c>
      <c r="I424">
        <v>18</v>
      </c>
      <c r="J424">
        <v>79371</v>
      </c>
      <c r="K424" t="s">
        <v>40</v>
      </c>
      <c r="L424">
        <v>8</v>
      </c>
      <c r="M424">
        <v>36</v>
      </c>
      <c r="N424">
        <v>7</v>
      </c>
      <c r="O424" t="s">
        <v>28</v>
      </c>
      <c r="P424" t="s">
        <v>27</v>
      </c>
      <c r="Q424">
        <v>5</v>
      </c>
      <c r="R424" t="s">
        <v>27</v>
      </c>
      <c r="S424" t="s">
        <v>27</v>
      </c>
    </row>
    <row r="425" spans="1:19" x14ac:dyDescent="0.35">
      <c r="A425" t="s">
        <v>900</v>
      </c>
      <c r="B425" t="s">
        <v>901</v>
      </c>
      <c r="C425" t="s">
        <v>21</v>
      </c>
      <c r="D425">
        <v>51</v>
      </c>
      <c r="E425" t="s">
        <v>55</v>
      </c>
      <c r="F425" t="s">
        <v>43</v>
      </c>
      <c r="G425" t="s">
        <v>69</v>
      </c>
      <c r="H425" t="s">
        <v>25</v>
      </c>
      <c r="I425">
        <v>13</v>
      </c>
      <c r="J425">
        <v>82000</v>
      </c>
      <c r="K425" t="s">
        <v>45</v>
      </c>
      <c r="L425">
        <v>5</v>
      </c>
      <c r="M425">
        <v>23</v>
      </c>
      <c r="N425">
        <v>4</v>
      </c>
      <c r="O425" t="s">
        <v>28</v>
      </c>
      <c r="P425" t="s">
        <v>27</v>
      </c>
      <c r="Q425">
        <v>3</v>
      </c>
      <c r="R425" t="s">
        <v>27</v>
      </c>
      <c r="S425" t="s">
        <v>27</v>
      </c>
    </row>
    <row r="426" spans="1:19" x14ac:dyDescent="0.35">
      <c r="A426" t="s">
        <v>902</v>
      </c>
      <c r="B426" t="s">
        <v>903</v>
      </c>
      <c r="C426" t="s">
        <v>31</v>
      </c>
      <c r="D426">
        <v>55</v>
      </c>
      <c r="E426" t="s">
        <v>55</v>
      </c>
      <c r="F426" t="s">
        <v>60</v>
      </c>
      <c r="G426" t="s">
        <v>69</v>
      </c>
      <c r="H426" t="s">
        <v>131</v>
      </c>
      <c r="I426">
        <v>19</v>
      </c>
      <c r="J426">
        <v>70224</v>
      </c>
      <c r="K426" t="s">
        <v>26</v>
      </c>
      <c r="L426">
        <v>8</v>
      </c>
      <c r="M426">
        <v>46</v>
      </c>
      <c r="N426">
        <v>3</v>
      </c>
      <c r="O426" t="s">
        <v>28</v>
      </c>
      <c r="P426" t="s">
        <v>28</v>
      </c>
      <c r="Q426">
        <v>1</v>
      </c>
      <c r="R426" t="s">
        <v>27</v>
      </c>
      <c r="S426" t="s">
        <v>27</v>
      </c>
    </row>
    <row r="427" spans="1:19" x14ac:dyDescent="0.35">
      <c r="A427" t="s">
        <v>904</v>
      </c>
      <c r="B427" t="s">
        <v>905</v>
      </c>
      <c r="C427" t="s">
        <v>21</v>
      </c>
      <c r="D427">
        <v>54</v>
      </c>
      <c r="E427" t="s">
        <v>38</v>
      </c>
      <c r="F427" t="s">
        <v>33</v>
      </c>
      <c r="G427" t="s">
        <v>24</v>
      </c>
      <c r="H427" t="s">
        <v>131</v>
      </c>
      <c r="I427">
        <v>27</v>
      </c>
      <c r="J427">
        <v>69122</v>
      </c>
      <c r="K427" t="s">
        <v>35</v>
      </c>
      <c r="L427">
        <v>7</v>
      </c>
      <c r="M427">
        <v>21</v>
      </c>
      <c r="N427">
        <v>6</v>
      </c>
      <c r="O427" t="s">
        <v>27</v>
      </c>
      <c r="P427" t="s">
        <v>28</v>
      </c>
      <c r="Q427">
        <v>5</v>
      </c>
      <c r="R427" t="s">
        <v>27</v>
      </c>
      <c r="S427" t="s">
        <v>27</v>
      </c>
    </row>
    <row r="428" spans="1:19" x14ac:dyDescent="0.35">
      <c r="A428" t="s">
        <v>906</v>
      </c>
      <c r="B428" t="s">
        <v>907</v>
      </c>
      <c r="C428" t="s">
        <v>31</v>
      </c>
      <c r="D428">
        <v>43</v>
      </c>
      <c r="E428" t="s">
        <v>55</v>
      </c>
      <c r="F428" t="s">
        <v>23</v>
      </c>
      <c r="G428" t="s">
        <v>24</v>
      </c>
      <c r="H428" t="s">
        <v>49</v>
      </c>
      <c r="I428">
        <v>16</v>
      </c>
      <c r="J428">
        <v>78799</v>
      </c>
      <c r="K428" t="s">
        <v>26</v>
      </c>
      <c r="L428">
        <v>5</v>
      </c>
      <c r="M428">
        <v>29</v>
      </c>
      <c r="N428">
        <v>1</v>
      </c>
      <c r="O428" t="s">
        <v>28</v>
      </c>
      <c r="P428" t="s">
        <v>27</v>
      </c>
      <c r="Q428">
        <v>5</v>
      </c>
      <c r="R428" t="s">
        <v>27</v>
      </c>
      <c r="S428" t="s">
        <v>27</v>
      </c>
    </row>
    <row r="429" spans="1:19" x14ac:dyDescent="0.35">
      <c r="A429" t="s">
        <v>908</v>
      </c>
      <c r="B429" t="s">
        <v>909</v>
      </c>
      <c r="C429" t="s">
        <v>21</v>
      </c>
      <c r="D429">
        <v>30</v>
      </c>
      <c r="E429" t="s">
        <v>55</v>
      </c>
      <c r="F429" t="s">
        <v>43</v>
      </c>
      <c r="G429" t="s">
        <v>24</v>
      </c>
      <c r="H429" t="s">
        <v>61</v>
      </c>
      <c r="I429">
        <v>7</v>
      </c>
      <c r="J429">
        <v>81797</v>
      </c>
      <c r="K429" t="s">
        <v>45</v>
      </c>
      <c r="L429">
        <v>10</v>
      </c>
      <c r="M429">
        <v>50</v>
      </c>
      <c r="N429">
        <v>2</v>
      </c>
      <c r="O429" t="s">
        <v>27</v>
      </c>
      <c r="P429" t="s">
        <v>27</v>
      </c>
      <c r="Q429">
        <v>2</v>
      </c>
      <c r="R429" t="s">
        <v>27</v>
      </c>
      <c r="S429" t="s">
        <v>27</v>
      </c>
    </row>
    <row r="430" spans="1:19" x14ac:dyDescent="0.35">
      <c r="A430" t="s">
        <v>910</v>
      </c>
      <c r="B430" t="s">
        <v>911</v>
      </c>
      <c r="C430" t="s">
        <v>21</v>
      </c>
      <c r="D430">
        <v>37</v>
      </c>
      <c r="E430" t="s">
        <v>38</v>
      </c>
      <c r="F430" t="s">
        <v>60</v>
      </c>
      <c r="G430" t="s">
        <v>69</v>
      </c>
      <c r="H430" t="s">
        <v>131</v>
      </c>
      <c r="I430">
        <v>13</v>
      </c>
      <c r="J430">
        <v>60000</v>
      </c>
      <c r="K430" t="s">
        <v>45</v>
      </c>
      <c r="L430">
        <v>5</v>
      </c>
      <c r="M430">
        <v>16</v>
      </c>
      <c r="N430">
        <v>3</v>
      </c>
      <c r="O430" t="s">
        <v>27</v>
      </c>
      <c r="P430" t="s">
        <v>27</v>
      </c>
      <c r="Q430">
        <v>3</v>
      </c>
      <c r="R430" t="s">
        <v>27</v>
      </c>
      <c r="S430" t="s">
        <v>27</v>
      </c>
    </row>
    <row r="431" spans="1:19" x14ac:dyDescent="0.35">
      <c r="A431" t="s">
        <v>912</v>
      </c>
      <c r="B431" t="s">
        <v>913</v>
      </c>
      <c r="C431" t="s">
        <v>31</v>
      </c>
      <c r="D431">
        <v>31</v>
      </c>
      <c r="E431" t="s">
        <v>55</v>
      </c>
      <c r="F431" t="s">
        <v>48</v>
      </c>
      <c r="G431" t="s">
        <v>24</v>
      </c>
      <c r="H431" t="s">
        <v>34</v>
      </c>
      <c r="I431">
        <v>8</v>
      </c>
      <c r="J431">
        <v>43195</v>
      </c>
      <c r="K431" t="s">
        <v>45</v>
      </c>
      <c r="L431">
        <v>4</v>
      </c>
      <c r="M431">
        <v>46</v>
      </c>
      <c r="N431">
        <v>3</v>
      </c>
      <c r="O431" t="s">
        <v>28</v>
      </c>
      <c r="P431" t="s">
        <v>28</v>
      </c>
      <c r="Q431">
        <v>5</v>
      </c>
      <c r="R431" t="s">
        <v>27</v>
      </c>
      <c r="S431" t="s">
        <v>27</v>
      </c>
    </row>
    <row r="432" spans="1:19" x14ac:dyDescent="0.35">
      <c r="A432" t="s">
        <v>914</v>
      </c>
      <c r="B432" t="s">
        <v>915</v>
      </c>
      <c r="C432" t="s">
        <v>21</v>
      </c>
      <c r="D432">
        <v>25</v>
      </c>
      <c r="E432" t="s">
        <v>55</v>
      </c>
      <c r="F432" t="s">
        <v>64</v>
      </c>
      <c r="G432" t="s">
        <v>24</v>
      </c>
      <c r="H432" t="s">
        <v>61</v>
      </c>
      <c r="I432">
        <v>3</v>
      </c>
      <c r="J432">
        <v>66306</v>
      </c>
      <c r="K432" t="s">
        <v>45</v>
      </c>
      <c r="L432">
        <v>7</v>
      </c>
      <c r="M432">
        <v>10</v>
      </c>
      <c r="N432">
        <v>4</v>
      </c>
      <c r="O432" t="s">
        <v>27</v>
      </c>
      <c r="P432" t="s">
        <v>28</v>
      </c>
      <c r="Q432">
        <v>3</v>
      </c>
      <c r="R432" t="s">
        <v>27</v>
      </c>
      <c r="S432" t="s">
        <v>27</v>
      </c>
    </row>
    <row r="433" spans="1:19" x14ac:dyDescent="0.35">
      <c r="A433" t="s">
        <v>916</v>
      </c>
      <c r="B433" t="s">
        <v>917</v>
      </c>
      <c r="C433" t="s">
        <v>31</v>
      </c>
      <c r="D433">
        <v>55</v>
      </c>
      <c r="E433" t="s">
        <v>38</v>
      </c>
      <c r="F433" t="s">
        <v>64</v>
      </c>
      <c r="G433" t="s">
        <v>24</v>
      </c>
      <c r="H433" t="s">
        <v>131</v>
      </c>
      <c r="I433">
        <v>12</v>
      </c>
      <c r="J433">
        <v>58240</v>
      </c>
      <c r="K433" t="s">
        <v>26</v>
      </c>
      <c r="L433">
        <v>8</v>
      </c>
      <c r="M433">
        <v>19</v>
      </c>
      <c r="N433">
        <v>4</v>
      </c>
      <c r="O433" t="s">
        <v>28</v>
      </c>
      <c r="P433" t="s">
        <v>27</v>
      </c>
      <c r="Q433">
        <v>3</v>
      </c>
      <c r="R433" t="s">
        <v>28</v>
      </c>
      <c r="S433" t="s">
        <v>27</v>
      </c>
    </row>
    <row r="434" spans="1:19" x14ac:dyDescent="0.35">
      <c r="A434" t="s">
        <v>918</v>
      </c>
      <c r="B434" t="s">
        <v>919</v>
      </c>
      <c r="C434" t="s">
        <v>31</v>
      </c>
      <c r="D434">
        <v>33</v>
      </c>
      <c r="E434" t="s">
        <v>32</v>
      </c>
      <c r="F434" t="s">
        <v>43</v>
      </c>
      <c r="G434" t="s">
        <v>24</v>
      </c>
      <c r="H434" t="s">
        <v>131</v>
      </c>
      <c r="I434">
        <v>9</v>
      </c>
      <c r="J434">
        <v>69929</v>
      </c>
      <c r="K434" t="s">
        <v>45</v>
      </c>
      <c r="L434">
        <v>9</v>
      </c>
      <c r="M434">
        <v>28</v>
      </c>
      <c r="N434">
        <v>3</v>
      </c>
      <c r="O434" t="s">
        <v>27</v>
      </c>
      <c r="P434" t="s">
        <v>28</v>
      </c>
      <c r="Q434">
        <v>5</v>
      </c>
      <c r="R434" t="s">
        <v>28</v>
      </c>
      <c r="S434" t="s">
        <v>27</v>
      </c>
    </row>
    <row r="435" spans="1:19" x14ac:dyDescent="0.35">
      <c r="A435" t="s">
        <v>920</v>
      </c>
      <c r="B435" t="s">
        <v>921</v>
      </c>
      <c r="C435" t="s">
        <v>31</v>
      </c>
      <c r="D435">
        <v>29</v>
      </c>
      <c r="E435" t="s">
        <v>38</v>
      </c>
      <c r="F435" t="s">
        <v>23</v>
      </c>
      <c r="G435" t="s">
        <v>24</v>
      </c>
      <c r="H435" t="s">
        <v>70</v>
      </c>
      <c r="I435">
        <v>6</v>
      </c>
      <c r="J435">
        <v>72115</v>
      </c>
      <c r="K435" t="s">
        <v>35</v>
      </c>
      <c r="L435">
        <v>5</v>
      </c>
      <c r="M435">
        <v>46</v>
      </c>
      <c r="N435">
        <v>6</v>
      </c>
      <c r="O435" t="s">
        <v>27</v>
      </c>
      <c r="P435" t="s">
        <v>28</v>
      </c>
      <c r="Q435">
        <v>5</v>
      </c>
      <c r="R435" t="s">
        <v>27</v>
      </c>
      <c r="S435" t="s">
        <v>27</v>
      </c>
    </row>
    <row r="436" spans="1:19" x14ac:dyDescent="0.35">
      <c r="A436" t="s">
        <v>922</v>
      </c>
      <c r="B436" t="s">
        <v>923</v>
      </c>
      <c r="C436" t="s">
        <v>21</v>
      </c>
      <c r="D436">
        <v>30</v>
      </c>
      <c r="E436" t="s">
        <v>55</v>
      </c>
      <c r="F436" t="s">
        <v>43</v>
      </c>
      <c r="G436" t="s">
        <v>69</v>
      </c>
      <c r="H436" t="s">
        <v>25</v>
      </c>
      <c r="I436">
        <v>4</v>
      </c>
      <c r="J436">
        <v>57314</v>
      </c>
      <c r="K436" t="s">
        <v>26</v>
      </c>
      <c r="L436">
        <v>2</v>
      </c>
      <c r="M436">
        <v>24</v>
      </c>
      <c r="N436">
        <v>5</v>
      </c>
      <c r="O436" t="s">
        <v>27</v>
      </c>
      <c r="P436" t="s">
        <v>28</v>
      </c>
      <c r="Q436">
        <v>1</v>
      </c>
      <c r="R436" t="s">
        <v>28</v>
      </c>
      <c r="S436" t="s">
        <v>28</v>
      </c>
    </row>
    <row r="437" spans="1:19" x14ac:dyDescent="0.35">
      <c r="A437" t="s">
        <v>924</v>
      </c>
      <c r="B437" t="s">
        <v>925</v>
      </c>
      <c r="C437" t="s">
        <v>21</v>
      </c>
      <c r="D437">
        <v>55</v>
      </c>
      <c r="E437" t="s">
        <v>38</v>
      </c>
      <c r="F437" t="s">
        <v>48</v>
      </c>
      <c r="G437" t="s">
        <v>24</v>
      </c>
      <c r="H437" t="s">
        <v>25</v>
      </c>
      <c r="I437">
        <v>17</v>
      </c>
      <c r="J437">
        <v>54638</v>
      </c>
      <c r="K437" t="s">
        <v>45</v>
      </c>
      <c r="L437">
        <v>1</v>
      </c>
      <c r="M437">
        <v>14</v>
      </c>
      <c r="N437">
        <v>1</v>
      </c>
      <c r="O437" t="s">
        <v>28</v>
      </c>
      <c r="P437" t="s">
        <v>27</v>
      </c>
      <c r="Q437">
        <v>1</v>
      </c>
      <c r="R437" t="s">
        <v>28</v>
      </c>
      <c r="S437" t="s">
        <v>27</v>
      </c>
    </row>
    <row r="438" spans="1:19" x14ac:dyDescent="0.35">
      <c r="A438" t="s">
        <v>926</v>
      </c>
      <c r="B438" t="s">
        <v>927</v>
      </c>
      <c r="C438" t="s">
        <v>31</v>
      </c>
      <c r="D438">
        <v>22</v>
      </c>
      <c r="E438" t="s">
        <v>55</v>
      </c>
      <c r="F438" t="s">
        <v>64</v>
      </c>
      <c r="G438" t="s">
        <v>24</v>
      </c>
      <c r="H438" t="s">
        <v>34</v>
      </c>
      <c r="I438">
        <v>0</v>
      </c>
      <c r="J438">
        <v>63752</v>
      </c>
      <c r="K438" t="s">
        <v>26</v>
      </c>
      <c r="L438">
        <v>10</v>
      </c>
      <c r="M438">
        <v>44</v>
      </c>
      <c r="N438">
        <v>0</v>
      </c>
      <c r="O438" t="s">
        <v>27</v>
      </c>
      <c r="P438" t="s">
        <v>28</v>
      </c>
      <c r="Q438">
        <v>1</v>
      </c>
      <c r="R438" t="s">
        <v>27</v>
      </c>
      <c r="S438" t="s">
        <v>27</v>
      </c>
    </row>
    <row r="439" spans="1:19" x14ac:dyDescent="0.35">
      <c r="A439" t="s">
        <v>928</v>
      </c>
      <c r="B439" t="s">
        <v>929</v>
      </c>
      <c r="C439" t="s">
        <v>31</v>
      </c>
      <c r="D439">
        <v>32</v>
      </c>
      <c r="E439" t="s">
        <v>38</v>
      </c>
      <c r="F439" t="s">
        <v>33</v>
      </c>
      <c r="G439" t="s">
        <v>24</v>
      </c>
      <c r="H439" t="s">
        <v>34</v>
      </c>
      <c r="I439">
        <v>4</v>
      </c>
      <c r="J439">
        <v>60621</v>
      </c>
      <c r="K439" t="s">
        <v>35</v>
      </c>
      <c r="L439">
        <v>7</v>
      </c>
      <c r="M439">
        <v>25</v>
      </c>
      <c r="N439">
        <v>4</v>
      </c>
      <c r="O439" t="s">
        <v>27</v>
      </c>
      <c r="P439" t="s">
        <v>28</v>
      </c>
      <c r="Q439">
        <v>2</v>
      </c>
      <c r="R439" t="s">
        <v>27</v>
      </c>
      <c r="S439" t="s">
        <v>27</v>
      </c>
    </row>
    <row r="440" spans="1:19" x14ac:dyDescent="0.35">
      <c r="A440" t="s">
        <v>930</v>
      </c>
      <c r="B440" t="s">
        <v>931</v>
      </c>
      <c r="C440" t="s">
        <v>31</v>
      </c>
      <c r="D440">
        <v>28</v>
      </c>
      <c r="E440" t="s">
        <v>22</v>
      </c>
      <c r="F440" t="s">
        <v>33</v>
      </c>
      <c r="G440" t="s">
        <v>24</v>
      </c>
      <c r="H440" t="s">
        <v>52</v>
      </c>
      <c r="I440">
        <v>4</v>
      </c>
      <c r="J440">
        <v>57588</v>
      </c>
      <c r="K440" t="s">
        <v>26</v>
      </c>
      <c r="L440">
        <v>10</v>
      </c>
      <c r="M440">
        <v>54</v>
      </c>
      <c r="N440">
        <v>3</v>
      </c>
      <c r="O440" t="s">
        <v>28</v>
      </c>
      <c r="P440" t="s">
        <v>28</v>
      </c>
      <c r="Q440">
        <v>1</v>
      </c>
      <c r="R440" t="s">
        <v>27</v>
      </c>
      <c r="S440" t="s">
        <v>27</v>
      </c>
    </row>
    <row r="441" spans="1:19" x14ac:dyDescent="0.35">
      <c r="A441" t="s">
        <v>932</v>
      </c>
      <c r="B441" t="s">
        <v>933</v>
      </c>
      <c r="C441" t="s">
        <v>21</v>
      </c>
      <c r="D441">
        <v>23</v>
      </c>
      <c r="E441" t="s">
        <v>55</v>
      </c>
      <c r="F441" t="s">
        <v>33</v>
      </c>
      <c r="G441" t="s">
        <v>24</v>
      </c>
      <c r="H441" t="s">
        <v>131</v>
      </c>
      <c r="I441">
        <v>2</v>
      </c>
      <c r="J441">
        <v>62394</v>
      </c>
      <c r="K441" t="s">
        <v>40</v>
      </c>
      <c r="L441">
        <v>10</v>
      </c>
      <c r="M441">
        <v>44</v>
      </c>
      <c r="N441">
        <v>2</v>
      </c>
      <c r="O441" t="s">
        <v>27</v>
      </c>
      <c r="P441" t="s">
        <v>27</v>
      </c>
      <c r="Q441">
        <v>3</v>
      </c>
      <c r="R441" t="s">
        <v>27</v>
      </c>
      <c r="S441" t="s">
        <v>27</v>
      </c>
    </row>
    <row r="442" spans="1:19" x14ac:dyDescent="0.35">
      <c r="A442" t="s">
        <v>934</v>
      </c>
      <c r="B442" t="s">
        <v>935</v>
      </c>
      <c r="C442" t="s">
        <v>31</v>
      </c>
      <c r="D442">
        <v>26</v>
      </c>
      <c r="E442" t="s">
        <v>55</v>
      </c>
      <c r="F442" t="s">
        <v>23</v>
      </c>
      <c r="G442" t="s">
        <v>24</v>
      </c>
      <c r="H442" t="s">
        <v>52</v>
      </c>
      <c r="I442">
        <v>2</v>
      </c>
      <c r="J442">
        <v>61445</v>
      </c>
      <c r="K442" t="s">
        <v>35</v>
      </c>
      <c r="L442">
        <v>3</v>
      </c>
      <c r="M442">
        <v>0</v>
      </c>
      <c r="N442">
        <v>3</v>
      </c>
      <c r="O442" t="s">
        <v>27</v>
      </c>
      <c r="P442" t="s">
        <v>28</v>
      </c>
      <c r="Q442">
        <v>4</v>
      </c>
      <c r="R442" t="s">
        <v>27</v>
      </c>
      <c r="S442" t="s">
        <v>27</v>
      </c>
    </row>
    <row r="443" spans="1:19" x14ac:dyDescent="0.35">
      <c r="A443" t="s">
        <v>936</v>
      </c>
      <c r="B443" t="s">
        <v>937</v>
      </c>
      <c r="C443" t="s">
        <v>21</v>
      </c>
      <c r="D443">
        <v>30</v>
      </c>
      <c r="E443" t="s">
        <v>38</v>
      </c>
      <c r="F443" t="s">
        <v>48</v>
      </c>
      <c r="G443" t="s">
        <v>24</v>
      </c>
      <c r="H443" t="s">
        <v>52</v>
      </c>
      <c r="I443">
        <v>7</v>
      </c>
      <c r="J443">
        <v>50978</v>
      </c>
      <c r="K443" t="s">
        <v>45</v>
      </c>
      <c r="L443">
        <v>5</v>
      </c>
      <c r="M443">
        <v>31</v>
      </c>
      <c r="N443">
        <v>5</v>
      </c>
      <c r="O443" t="s">
        <v>27</v>
      </c>
      <c r="P443" t="s">
        <v>28</v>
      </c>
      <c r="Q443">
        <v>1</v>
      </c>
      <c r="R443" t="s">
        <v>27</v>
      </c>
      <c r="S443" t="s">
        <v>27</v>
      </c>
    </row>
    <row r="444" spans="1:19" x14ac:dyDescent="0.35">
      <c r="A444" t="s">
        <v>938</v>
      </c>
      <c r="B444" t="s">
        <v>939</v>
      </c>
      <c r="C444" t="s">
        <v>31</v>
      </c>
      <c r="D444">
        <v>36</v>
      </c>
      <c r="E444" t="s">
        <v>55</v>
      </c>
      <c r="F444" t="s">
        <v>23</v>
      </c>
      <c r="G444" t="s">
        <v>44</v>
      </c>
      <c r="H444" t="s">
        <v>25</v>
      </c>
      <c r="I444">
        <v>10</v>
      </c>
      <c r="J444">
        <v>71490</v>
      </c>
      <c r="K444" t="s">
        <v>35</v>
      </c>
      <c r="L444">
        <v>5</v>
      </c>
      <c r="M444">
        <v>31</v>
      </c>
      <c r="N444">
        <v>1</v>
      </c>
      <c r="O444" t="s">
        <v>27</v>
      </c>
      <c r="P444" t="s">
        <v>27</v>
      </c>
      <c r="Q444">
        <v>4</v>
      </c>
      <c r="R444" t="s">
        <v>28</v>
      </c>
      <c r="S444" t="s">
        <v>27</v>
      </c>
    </row>
    <row r="445" spans="1:19" x14ac:dyDescent="0.35">
      <c r="A445" t="s">
        <v>940</v>
      </c>
      <c r="B445" t="s">
        <v>941</v>
      </c>
      <c r="C445" t="s">
        <v>31</v>
      </c>
      <c r="D445">
        <v>21</v>
      </c>
      <c r="E445" t="s">
        <v>38</v>
      </c>
      <c r="F445" t="s">
        <v>64</v>
      </c>
      <c r="G445" t="s">
        <v>24</v>
      </c>
      <c r="H445" t="s">
        <v>49</v>
      </c>
      <c r="I445">
        <v>0</v>
      </c>
      <c r="J445">
        <v>55261</v>
      </c>
      <c r="K445" t="s">
        <v>26</v>
      </c>
      <c r="L445">
        <v>6</v>
      </c>
      <c r="M445">
        <v>31</v>
      </c>
      <c r="N445">
        <v>6</v>
      </c>
      <c r="O445" t="s">
        <v>27</v>
      </c>
      <c r="P445" t="s">
        <v>28</v>
      </c>
      <c r="Q445">
        <v>2</v>
      </c>
      <c r="R445" t="s">
        <v>27</v>
      </c>
      <c r="S445" t="s">
        <v>27</v>
      </c>
    </row>
    <row r="446" spans="1:19" x14ac:dyDescent="0.35">
      <c r="A446" t="s">
        <v>942</v>
      </c>
      <c r="B446" t="s">
        <v>943</v>
      </c>
      <c r="C446" t="s">
        <v>21</v>
      </c>
      <c r="D446">
        <v>28</v>
      </c>
      <c r="E446" t="s">
        <v>55</v>
      </c>
      <c r="F446" t="s">
        <v>48</v>
      </c>
      <c r="G446" t="s">
        <v>44</v>
      </c>
      <c r="H446" t="s">
        <v>25</v>
      </c>
      <c r="I446">
        <v>4</v>
      </c>
      <c r="J446">
        <v>41391</v>
      </c>
      <c r="K446" t="s">
        <v>45</v>
      </c>
      <c r="L446">
        <v>4</v>
      </c>
      <c r="M446">
        <v>38</v>
      </c>
      <c r="N446">
        <v>6</v>
      </c>
      <c r="O446" t="s">
        <v>27</v>
      </c>
      <c r="P446" t="s">
        <v>28</v>
      </c>
      <c r="Q446">
        <v>2</v>
      </c>
      <c r="R446" t="s">
        <v>27</v>
      </c>
      <c r="S446" t="s">
        <v>27</v>
      </c>
    </row>
    <row r="447" spans="1:19" x14ac:dyDescent="0.35">
      <c r="A447" t="s">
        <v>944</v>
      </c>
      <c r="B447" t="s">
        <v>945</v>
      </c>
      <c r="C447" t="s">
        <v>21</v>
      </c>
      <c r="D447">
        <v>32</v>
      </c>
      <c r="E447" t="s">
        <v>55</v>
      </c>
      <c r="F447" t="s">
        <v>33</v>
      </c>
      <c r="G447" t="s">
        <v>24</v>
      </c>
      <c r="H447" t="s">
        <v>131</v>
      </c>
      <c r="I447">
        <v>9</v>
      </c>
      <c r="J447">
        <v>56153</v>
      </c>
      <c r="K447" t="s">
        <v>45</v>
      </c>
      <c r="L447">
        <v>6</v>
      </c>
      <c r="M447">
        <v>25</v>
      </c>
      <c r="N447">
        <v>5</v>
      </c>
      <c r="O447" t="s">
        <v>27</v>
      </c>
      <c r="P447" t="s">
        <v>27</v>
      </c>
      <c r="Q447">
        <v>4</v>
      </c>
      <c r="R447" t="s">
        <v>27</v>
      </c>
      <c r="S447" t="s">
        <v>27</v>
      </c>
    </row>
    <row r="448" spans="1:19" x14ac:dyDescent="0.35">
      <c r="A448" t="s">
        <v>946</v>
      </c>
      <c r="B448" t="s">
        <v>947</v>
      </c>
      <c r="C448" t="s">
        <v>21</v>
      </c>
      <c r="D448">
        <v>34</v>
      </c>
      <c r="E448" t="s">
        <v>38</v>
      </c>
      <c r="F448" t="s">
        <v>60</v>
      </c>
      <c r="G448" t="s">
        <v>24</v>
      </c>
      <c r="H448" t="s">
        <v>61</v>
      </c>
      <c r="I448">
        <v>5</v>
      </c>
      <c r="J448">
        <v>63857</v>
      </c>
      <c r="K448" t="s">
        <v>35</v>
      </c>
      <c r="L448">
        <v>4</v>
      </c>
      <c r="M448">
        <v>53</v>
      </c>
      <c r="N448">
        <v>3</v>
      </c>
      <c r="O448" t="s">
        <v>27</v>
      </c>
      <c r="P448" t="s">
        <v>28</v>
      </c>
      <c r="Q448">
        <v>5</v>
      </c>
      <c r="R448" t="s">
        <v>27</v>
      </c>
      <c r="S448" t="s">
        <v>27</v>
      </c>
    </row>
    <row r="449" spans="1:19" x14ac:dyDescent="0.35">
      <c r="A449" t="s">
        <v>948</v>
      </c>
      <c r="B449" t="s">
        <v>949</v>
      </c>
      <c r="C449" t="s">
        <v>31</v>
      </c>
      <c r="D449">
        <v>34</v>
      </c>
      <c r="E449" t="s">
        <v>38</v>
      </c>
      <c r="F449" t="s">
        <v>43</v>
      </c>
      <c r="G449" t="s">
        <v>24</v>
      </c>
      <c r="H449" t="s">
        <v>61</v>
      </c>
      <c r="I449">
        <v>7</v>
      </c>
      <c r="J449">
        <v>75412</v>
      </c>
      <c r="K449" t="s">
        <v>26</v>
      </c>
      <c r="L449">
        <v>10</v>
      </c>
      <c r="M449">
        <v>34</v>
      </c>
      <c r="N449">
        <v>5</v>
      </c>
      <c r="O449" t="s">
        <v>28</v>
      </c>
      <c r="P449" t="s">
        <v>28</v>
      </c>
      <c r="Q449">
        <v>1</v>
      </c>
      <c r="R449" t="s">
        <v>28</v>
      </c>
      <c r="S449" t="s">
        <v>27</v>
      </c>
    </row>
    <row r="450" spans="1:19" x14ac:dyDescent="0.35">
      <c r="A450" t="s">
        <v>950</v>
      </c>
      <c r="B450" t="s">
        <v>951</v>
      </c>
      <c r="C450" t="s">
        <v>31</v>
      </c>
      <c r="D450">
        <v>38</v>
      </c>
      <c r="E450" t="s">
        <v>38</v>
      </c>
      <c r="F450" t="s">
        <v>23</v>
      </c>
      <c r="G450" t="s">
        <v>24</v>
      </c>
      <c r="H450" t="s">
        <v>131</v>
      </c>
      <c r="I450">
        <v>10</v>
      </c>
      <c r="J450">
        <v>66016</v>
      </c>
      <c r="K450" t="s">
        <v>26</v>
      </c>
      <c r="L450">
        <v>8</v>
      </c>
      <c r="M450">
        <v>14</v>
      </c>
      <c r="N450">
        <v>2</v>
      </c>
      <c r="O450" t="s">
        <v>27</v>
      </c>
      <c r="P450" t="s">
        <v>28</v>
      </c>
      <c r="Q450">
        <v>5</v>
      </c>
      <c r="R450" t="s">
        <v>27</v>
      </c>
      <c r="S450" t="s">
        <v>27</v>
      </c>
    </row>
    <row r="451" spans="1:19" x14ac:dyDescent="0.35">
      <c r="A451" t="s">
        <v>952</v>
      </c>
      <c r="B451" t="s">
        <v>953</v>
      </c>
      <c r="C451" t="s">
        <v>31</v>
      </c>
      <c r="D451">
        <v>24</v>
      </c>
      <c r="E451" t="s">
        <v>55</v>
      </c>
      <c r="F451" t="s">
        <v>43</v>
      </c>
      <c r="G451" t="s">
        <v>24</v>
      </c>
      <c r="H451" t="s">
        <v>61</v>
      </c>
      <c r="I451">
        <v>2</v>
      </c>
      <c r="J451">
        <v>75981</v>
      </c>
      <c r="K451" t="s">
        <v>35</v>
      </c>
      <c r="L451">
        <v>4</v>
      </c>
      <c r="M451">
        <v>37</v>
      </c>
      <c r="N451">
        <v>4</v>
      </c>
      <c r="O451" t="s">
        <v>28</v>
      </c>
      <c r="P451" t="s">
        <v>27</v>
      </c>
      <c r="Q451">
        <v>2</v>
      </c>
      <c r="R451" t="s">
        <v>27</v>
      </c>
      <c r="S451" t="s">
        <v>28</v>
      </c>
    </row>
    <row r="452" spans="1:19" x14ac:dyDescent="0.35">
      <c r="A452" t="s">
        <v>954</v>
      </c>
      <c r="B452" t="s">
        <v>955</v>
      </c>
      <c r="C452" t="s">
        <v>21</v>
      </c>
      <c r="D452">
        <v>36</v>
      </c>
      <c r="E452" t="s">
        <v>55</v>
      </c>
      <c r="F452" t="s">
        <v>39</v>
      </c>
      <c r="G452" t="s">
        <v>24</v>
      </c>
      <c r="H452" t="s">
        <v>25</v>
      </c>
      <c r="I452">
        <v>10</v>
      </c>
      <c r="J452">
        <v>46631</v>
      </c>
      <c r="K452" t="s">
        <v>45</v>
      </c>
      <c r="L452">
        <v>6</v>
      </c>
      <c r="M452">
        <v>22</v>
      </c>
      <c r="N452">
        <v>3</v>
      </c>
      <c r="O452" t="s">
        <v>27</v>
      </c>
      <c r="P452" t="s">
        <v>28</v>
      </c>
      <c r="Q452">
        <v>3</v>
      </c>
      <c r="R452" t="s">
        <v>27</v>
      </c>
      <c r="S452" t="s">
        <v>27</v>
      </c>
    </row>
    <row r="453" spans="1:19" x14ac:dyDescent="0.35">
      <c r="A453" t="s">
        <v>956</v>
      </c>
      <c r="B453" t="s">
        <v>957</v>
      </c>
      <c r="C453" t="s">
        <v>21</v>
      </c>
      <c r="D453">
        <v>54</v>
      </c>
      <c r="E453" t="s">
        <v>38</v>
      </c>
      <c r="F453" t="s">
        <v>60</v>
      </c>
      <c r="G453" t="s">
        <v>24</v>
      </c>
      <c r="H453" t="s">
        <v>25</v>
      </c>
      <c r="I453">
        <v>26</v>
      </c>
      <c r="J453">
        <v>75027</v>
      </c>
      <c r="K453" t="s">
        <v>26</v>
      </c>
      <c r="L453">
        <v>6</v>
      </c>
      <c r="M453">
        <v>46</v>
      </c>
      <c r="N453">
        <v>4</v>
      </c>
      <c r="O453" t="s">
        <v>28</v>
      </c>
      <c r="P453" t="s">
        <v>28</v>
      </c>
      <c r="Q453">
        <v>3</v>
      </c>
      <c r="R453" t="s">
        <v>27</v>
      </c>
      <c r="S453" t="s">
        <v>27</v>
      </c>
    </row>
    <row r="454" spans="1:19" x14ac:dyDescent="0.35">
      <c r="A454" t="s">
        <v>958</v>
      </c>
      <c r="B454" t="s">
        <v>959</v>
      </c>
      <c r="C454" t="s">
        <v>31</v>
      </c>
      <c r="D454">
        <v>21</v>
      </c>
      <c r="E454" t="s">
        <v>55</v>
      </c>
      <c r="F454" t="s">
        <v>39</v>
      </c>
      <c r="G454" t="s">
        <v>24</v>
      </c>
      <c r="H454" t="s">
        <v>25</v>
      </c>
      <c r="I454">
        <v>0</v>
      </c>
      <c r="J454">
        <v>51354</v>
      </c>
      <c r="K454" t="s">
        <v>35</v>
      </c>
      <c r="L454">
        <v>4</v>
      </c>
      <c r="M454">
        <v>0</v>
      </c>
      <c r="N454">
        <v>1</v>
      </c>
      <c r="O454" t="s">
        <v>28</v>
      </c>
      <c r="P454" t="s">
        <v>28</v>
      </c>
      <c r="Q454">
        <v>4</v>
      </c>
      <c r="R454" t="s">
        <v>27</v>
      </c>
      <c r="S454" t="s">
        <v>28</v>
      </c>
    </row>
    <row r="455" spans="1:19" x14ac:dyDescent="0.35">
      <c r="A455" t="s">
        <v>960</v>
      </c>
      <c r="B455" t="s">
        <v>961</v>
      </c>
      <c r="C455" t="s">
        <v>31</v>
      </c>
      <c r="D455">
        <v>45</v>
      </c>
      <c r="E455" t="s">
        <v>55</v>
      </c>
      <c r="F455" t="s">
        <v>33</v>
      </c>
      <c r="G455" t="s">
        <v>24</v>
      </c>
      <c r="H455" t="s">
        <v>25</v>
      </c>
      <c r="I455">
        <v>10</v>
      </c>
      <c r="J455">
        <v>66616</v>
      </c>
      <c r="K455" t="s">
        <v>26</v>
      </c>
      <c r="L455">
        <v>9</v>
      </c>
      <c r="M455">
        <v>46</v>
      </c>
      <c r="N455">
        <v>3</v>
      </c>
      <c r="O455" t="s">
        <v>27</v>
      </c>
      <c r="P455" t="s">
        <v>28</v>
      </c>
      <c r="Q455">
        <v>3</v>
      </c>
      <c r="R455" t="s">
        <v>27</v>
      </c>
      <c r="S455" t="s">
        <v>27</v>
      </c>
    </row>
    <row r="456" spans="1:19" x14ac:dyDescent="0.35">
      <c r="A456" t="s">
        <v>962</v>
      </c>
      <c r="B456" t="s">
        <v>963</v>
      </c>
      <c r="C456" t="s">
        <v>21</v>
      </c>
      <c r="D456">
        <v>37</v>
      </c>
      <c r="E456" t="s">
        <v>38</v>
      </c>
      <c r="F456" t="s">
        <v>48</v>
      </c>
      <c r="G456" t="s">
        <v>44</v>
      </c>
      <c r="H456" t="s">
        <v>49</v>
      </c>
      <c r="I456">
        <v>6</v>
      </c>
      <c r="J456">
        <v>68882</v>
      </c>
      <c r="K456" t="s">
        <v>45</v>
      </c>
      <c r="L456">
        <v>7</v>
      </c>
      <c r="M456">
        <v>23</v>
      </c>
      <c r="N456">
        <v>4</v>
      </c>
      <c r="O456" t="s">
        <v>27</v>
      </c>
      <c r="P456" t="s">
        <v>28</v>
      </c>
      <c r="Q456">
        <v>4</v>
      </c>
      <c r="R456" t="s">
        <v>28</v>
      </c>
      <c r="S456" t="s">
        <v>27</v>
      </c>
    </row>
    <row r="457" spans="1:19" x14ac:dyDescent="0.35">
      <c r="A457" t="s">
        <v>964</v>
      </c>
      <c r="B457" t="s">
        <v>965</v>
      </c>
      <c r="C457" t="s">
        <v>21</v>
      </c>
      <c r="D457">
        <v>41</v>
      </c>
      <c r="E457" t="s">
        <v>55</v>
      </c>
      <c r="F457" t="s">
        <v>39</v>
      </c>
      <c r="G457" t="s">
        <v>24</v>
      </c>
      <c r="H457" t="s">
        <v>34</v>
      </c>
      <c r="I457">
        <v>9</v>
      </c>
      <c r="J457">
        <v>52427</v>
      </c>
      <c r="K457" t="s">
        <v>26</v>
      </c>
      <c r="L457">
        <v>1</v>
      </c>
      <c r="M457">
        <v>10</v>
      </c>
      <c r="N457">
        <v>4</v>
      </c>
      <c r="O457" t="s">
        <v>27</v>
      </c>
      <c r="P457" t="s">
        <v>27</v>
      </c>
      <c r="Q457">
        <v>5</v>
      </c>
      <c r="R457" t="s">
        <v>27</v>
      </c>
      <c r="S457" t="s">
        <v>27</v>
      </c>
    </row>
    <row r="458" spans="1:19" x14ac:dyDescent="0.35">
      <c r="A458" t="s">
        <v>966</v>
      </c>
      <c r="B458" t="s">
        <v>967</v>
      </c>
      <c r="C458" t="s">
        <v>21</v>
      </c>
      <c r="D458">
        <v>35</v>
      </c>
      <c r="E458" t="s">
        <v>55</v>
      </c>
      <c r="F458" t="s">
        <v>43</v>
      </c>
      <c r="G458" t="s">
        <v>24</v>
      </c>
      <c r="H458" t="s">
        <v>34</v>
      </c>
      <c r="I458">
        <v>9</v>
      </c>
      <c r="J458">
        <v>75166</v>
      </c>
      <c r="K458" t="s">
        <v>26</v>
      </c>
      <c r="L458">
        <v>3</v>
      </c>
      <c r="M458">
        <v>21</v>
      </c>
      <c r="N458">
        <v>5</v>
      </c>
      <c r="O458" t="s">
        <v>28</v>
      </c>
      <c r="P458" t="s">
        <v>28</v>
      </c>
      <c r="Q458">
        <v>1</v>
      </c>
      <c r="R458" t="s">
        <v>27</v>
      </c>
      <c r="S458" t="s">
        <v>27</v>
      </c>
    </row>
    <row r="459" spans="1:19" x14ac:dyDescent="0.35">
      <c r="A459" t="s">
        <v>968</v>
      </c>
      <c r="B459" t="s">
        <v>969</v>
      </c>
      <c r="C459" t="s">
        <v>21</v>
      </c>
      <c r="D459">
        <v>42</v>
      </c>
      <c r="E459" t="s">
        <v>32</v>
      </c>
      <c r="F459" t="s">
        <v>64</v>
      </c>
      <c r="G459" t="s">
        <v>69</v>
      </c>
      <c r="H459" t="s">
        <v>61</v>
      </c>
      <c r="I459">
        <v>10</v>
      </c>
      <c r="J459">
        <v>59335</v>
      </c>
      <c r="K459" t="s">
        <v>26</v>
      </c>
      <c r="L459">
        <v>4</v>
      </c>
      <c r="M459">
        <v>46</v>
      </c>
      <c r="N459">
        <v>8</v>
      </c>
      <c r="O459" t="s">
        <v>27</v>
      </c>
      <c r="P459" t="s">
        <v>28</v>
      </c>
      <c r="Q459">
        <v>1</v>
      </c>
      <c r="R459" t="s">
        <v>27</v>
      </c>
      <c r="S459" t="s">
        <v>27</v>
      </c>
    </row>
    <row r="460" spans="1:19" x14ac:dyDescent="0.35">
      <c r="A460" t="s">
        <v>970</v>
      </c>
      <c r="B460" t="s">
        <v>971</v>
      </c>
      <c r="C460" t="s">
        <v>31</v>
      </c>
      <c r="D460">
        <v>24</v>
      </c>
      <c r="E460" t="s">
        <v>22</v>
      </c>
      <c r="F460" t="s">
        <v>33</v>
      </c>
      <c r="G460" t="s">
        <v>24</v>
      </c>
      <c r="H460" t="s">
        <v>131</v>
      </c>
      <c r="I460">
        <v>1</v>
      </c>
      <c r="J460">
        <v>57769</v>
      </c>
      <c r="K460" t="s">
        <v>26</v>
      </c>
      <c r="L460">
        <v>1</v>
      </c>
      <c r="M460">
        <v>36</v>
      </c>
      <c r="N460">
        <v>4</v>
      </c>
      <c r="O460" t="s">
        <v>27</v>
      </c>
      <c r="P460" t="s">
        <v>28</v>
      </c>
      <c r="Q460">
        <v>2</v>
      </c>
      <c r="R460" t="s">
        <v>27</v>
      </c>
      <c r="S460" t="s">
        <v>28</v>
      </c>
    </row>
    <row r="461" spans="1:19" x14ac:dyDescent="0.35">
      <c r="A461" t="s">
        <v>972</v>
      </c>
      <c r="B461" t="s">
        <v>973</v>
      </c>
      <c r="C461" t="s">
        <v>31</v>
      </c>
      <c r="D461">
        <v>34</v>
      </c>
      <c r="E461" t="s">
        <v>32</v>
      </c>
      <c r="F461" t="s">
        <v>48</v>
      </c>
      <c r="G461" t="s">
        <v>24</v>
      </c>
      <c r="H461" t="s">
        <v>52</v>
      </c>
      <c r="I461">
        <v>5</v>
      </c>
      <c r="J461">
        <v>48144</v>
      </c>
      <c r="K461" t="s">
        <v>45</v>
      </c>
      <c r="L461">
        <v>8</v>
      </c>
      <c r="M461">
        <v>0</v>
      </c>
      <c r="N461">
        <v>8</v>
      </c>
      <c r="O461" t="s">
        <v>28</v>
      </c>
      <c r="P461" t="s">
        <v>27</v>
      </c>
      <c r="Q461">
        <v>4</v>
      </c>
      <c r="R461" t="s">
        <v>27</v>
      </c>
      <c r="S461" t="s">
        <v>27</v>
      </c>
    </row>
    <row r="462" spans="1:19" x14ac:dyDescent="0.35">
      <c r="A462" t="s">
        <v>974</v>
      </c>
      <c r="B462" t="s">
        <v>975</v>
      </c>
      <c r="C462" t="s">
        <v>21</v>
      </c>
      <c r="D462">
        <v>50</v>
      </c>
      <c r="E462" t="s">
        <v>55</v>
      </c>
      <c r="F462" t="s">
        <v>48</v>
      </c>
      <c r="G462" t="s">
        <v>24</v>
      </c>
      <c r="H462" t="s">
        <v>52</v>
      </c>
      <c r="I462">
        <v>14</v>
      </c>
      <c r="J462">
        <v>53210</v>
      </c>
      <c r="K462" t="s">
        <v>26</v>
      </c>
      <c r="L462">
        <v>6</v>
      </c>
      <c r="M462">
        <v>19</v>
      </c>
      <c r="N462">
        <v>7</v>
      </c>
      <c r="O462" t="s">
        <v>27</v>
      </c>
      <c r="P462" t="s">
        <v>28</v>
      </c>
      <c r="Q462">
        <v>2</v>
      </c>
      <c r="R462" t="s">
        <v>27</v>
      </c>
      <c r="S462" t="s">
        <v>27</v>
      </c>
    </row>
    <row r="463" spans="1:19" x14ac:dyDescent="0.35">
      <c r="A463" t="s">
        <v>976</v>
      </c>
      <c r="B463" t="s">
        <v>977</v>
      </c>
      <c r="C463" t="s">
        <v>21</v>
      </c>
      <c r="D463">
        <v>32</v>
      </c>
      <c r="E463" t="s">
        <v>32</v>
      </c>
      <c r="F463" t="s">
        <v>48</v>
      </c>
      <c r="G463" t="s">
        <v>24</v>
      </c>
      <c r="H463" t="s">
        <v>70</v>
      </c>
      <c r="I463">
        <v>8</v>
      </c>
      <c r="J463">
        <v>44199</v>
      </c>
      <c r="K463" t="s">
        <v>45</v>
      </c>
      <c r="L463">
        <v>6</v>
      </c>
      <c r="M463">
        <v>0</v>
      </c>
      <c r="N463">
        <v>2</v>
      </c>
      <c r="O463" t="s">
        <v>28</v>
      </c>
      <c r="P463" t="s">
        <v>28</v>
      </c>
      <c r="Q463">
        <v>3</v>
      </c>
      <c r="R463" t="s">
        <v>27</v>
      </c>
      <c r="S463" t="s">
        <v>27</v>
      </c>
    </row>
    <row r="464" spans="1:19" x14ac:dyDescent="0.35">
      <c r="A464" t="s">
        <v>978</v>
      </c>
      <c r="B464" t="s">
        <v>979</v>
      </c>
      <c r="C464" t="s">
        <v>31</v>
      </c>
      <c r="D464">
        <v>41</v>
      </c>
      <c r="E464" t="s">
        <v>22</v>
      </c>
      <c r="F464" t="s">
        <v>48</v>
      </c>
      <c r="G464" t="s">
        <v>69</v>
      </c>
      <c r="H464" t="s">
        <v>25</v>
      </c>
      <c r="I464">
        <v>16</v>
      </c>
      <c r="J464">
        <v>53627</v>
      </c>
      <c r="K464" t="s">
        <v>26</v>
      </c>
      <c r="L464">
        <v>10</v>
      </c>
      <c r="M464">
        <v>20</v>
      </c>
      <c r="N464">
        <v>3</v>
      </c>
      <c r="O464" t="s">
        <v>28</v>
      </c>
      <c r="P464" t="s">
        <v>28</v>
      </c>
      <c r="Q464">
        <v>1</v>
      </c>
      <c r="R464" t="s">
        <v>27</v>
      </c>
      <c r="S464" t="s">
        <v>27</v>
      </c>
    </row>
    <row r="465" spans="1:19" x14ac:dyDescent="0.35">
      <c r="A465" t="s">
        <v>980</v>
      </c>
      <c r="B465" t="s">
        <v>981</v>
      </c>
      <c r="C465" t="s">
        <v>21</v>
      </c>
      <c r="D465">
        <v>37</v>
      </c>
      <c r="E465" t="s">
        <v>38</v>
      </c>
      <c r="F465" t="s">
        <v>60</v>
      </c>
      <c r="G465" t="s">
        <v>24</v>
      </c>
      <c r="H465" t="s">
        <v>25</v>
      </c>
      <c r="I465">
        <v>10</v>
      </c>
      <c r="J465">
        <v>64502</v>
      </c>
      <c r="K465" t="s">
        <v>45</v>
      </c>
      <c r="L465">
        <v>5</v>
      </c>
      <c r="M465">
        <v>31</v>
      </c>
      <c r="N465">
        <v>1</v>
      </c>
      <c r="O465" t="s">
        <v>27</v>
      </c>
      <c r="P465" t="s">
        <v>27</v>
      </c>
      <c r="Q465">
        <v>5</v>
      </c>
      <c r="R465" t="s">
        <v>27</v>
      </c>
      <c r="S465" t="s">
        <v>28</v>
      </c>
    </row>
    <row r="466" spans="1:19" x14ac:dyDescent="0.35">
      <c r="A466" t="s">
        <v>982</v>
      </c>
      <c r="B466" t="s">
        <v>983</v>
      </c>
      <c r="C466" t="s">
        <v>21</v>
      </c>
      <c r="D466">
        <v>49</v>
      </c>
      <c r="E466" t="s">
        <v>38</v>
      </c>
      <c r="F466" t="s">
        <v>39</v>
      </c>
      <c r="G466" t="s">
        <v>24</v>
      </c>
      <c r="H466" t="s">
        <v>70</v>
      </c>
      <c r="I466">
        <v>17</v>
      </c>
      <c r="J466">
        <v>67527</v>
      </c>
      <c r="K466" t="s">
        <v>26</v>
      </c>
      <c r="L466">
        <v>5</v>
      </c>
      <c r="M466">
        <v>11</v>
      </c>
      <c r="N466">
        <v>3</v>
      </c>
      <c r="O466" t="s">
        <v>27</v>
      </c>
      <c r="P466" t="s">
        <v>27</v>
      </c>
      <c r="Q466">
        <v>5</v>
      </c>
      <c r="R466" t="s">
        <v>27</v>
      </c>
      <c r="S466" t="s">
        <v>27</v>
      </c>
    </row>
    <row r="467" spans="1:19" x14ac:dyDescent="0.35">
      <c r="A467" t="s">
        <v>984</v>
      </c>
      <c r="B467" t="s">
        <v>985</v>
      </c>
      <c r="C467" t="s">
        <v>31</v>
      </c>
      <c r="D467">
        <v>34</v>
      </c>
      <c r="E467" t="s">
        <v>32</v>
      </c>
      <c r="F467" t="s">
        <v>64</v>
      </c>
      <c r="G467" t="s">
        <v>24</v>
      </c>
      <c r="H467" t="s">
        <v>25</v>
      </c>
      <c r="I467">
        <v>7</v>
      </c>
      <c r="J467">
        <v>64817</v>
      </c>
      <c r="K467" t="s">
        <v>45</v>
      </c>
      <c r="L467">
        <v>9</v>
      </c>
      <c r="M467">
        <v>13</v>
      </c>
      <c r="N467">
        <v>5</v>
      </c>
      <c r="O467" t="s">
        <v>27</v>
      </c>
      <c r="P467" t="s">
        <v>27</v>
      </c>
      <c r="Q467">
        <v>3</v>
      </c>
      <c r="R467" t="s">
        <v>27</v>
      </c>
      <c r="S467" t="s">
        <v>27</v>
      </c>
    </row>
    <row r="468" spans="1:19" x14ac:dyDescent="0.35">
      <c r="A468" t="s">
        <v>986</v>
      </c>
      <c r="B468" t="s">
        <v>987</v>
      </c>
      <c r="C468" t="s">
        <v>31</v>
      </c>
      <c r="D468">
        <v>51</v>
      </c>
      <c r="E468" t="s">
        <v>38</v>
      </c>
      <c r="F468" t="s">
        <v>64</v>
      </c>
      <c r="G468" t="s">
        <v>24</v>
      </c>
      <c r="H468" t="s">
        <v>52</v>
      </c>
      <c r="I468">
        <v>12</v>
      </c>
      <c r="J468">
        <v>67803</v>
      </c>
      <c r="K468" t="s">
        <v>26</v>
      </c>
      <c r="L468">
        <v>3</v>
      </c>
      <c r="M468">
        <v>14</v>
      </c>
      <c r="N468">
        <v>0</v>
      </c>
      <c r="O468" t="s">
        <v>28</v>
      </c>
      <c r="P468" t="s">
        <v>28</v>
      </c>
      <c r="Q468">
        <v>3</v>
      </c>
      <c r="R468" t="s">
        <v>27</v>
      </c>
      <c r="S468" t="s">
        <v>27</v>
      </c>
    </row>
    <row r="469" spans="1:19" x14ac:dyDescent="0.35">
      <c r="A469" t="s">
        <v>988</v>
      </c>
      <c r="B469" t="s">
        <v>989</v>
      </c>
      <c r="C469" t="s">
        <v>21</v>
      </c>
      <c r="D469">
        <v>26</v>
      </c>
      <c r="E469" t="s">
        <v>32</v>
      </c>
      <c r="F469" t="s">
        <v>64</v>
      </c>
      <c r="G469" t="s">
        <v>24</v>
      </c>
      <c r="H469" t="s">
        <v>61</v>
      </c>
      <c r="I469">
        <v>3</v>
      </c>
      <c r="J469">
        <v>62259</v>
      </c>
      <c r="K469" t="s">
        <v>26</v>
      </c>
      <c r="L469">
        <v>2</v>
      </c>
      <c r="M469">
        <v>6</v>
      </c>
      <c r="N469">
        <v>4</v>
      </c>
      <c r="O469" t="s">
        <v>27</v>
      </c>
      <c r="P469" t="s">
        <v>28</v>
      </c>
      <c r="Q469">
        <v>3</v>
      </c>
      <c r="R469" t="s">
        <v>27</v>
      </c>
      <c r="S469" t="s">
        <v>27</v>
      </c>
    </row>
    <row r="470" spans="1:19" x14ac:dyDescent="0.35">
      <c r="A470" t="s">
        <v>990</v>
      </c>
      <c r="B470" t="s">
        <v>991</v>
      </c>
      <c r="C470" t="s">
        <v>31</v>
      </c>
      <c r="D470">
        <v>21</v>
      </c>
      <c r="E470" t="s">
        <v>38</v>
      </c>
      <c r="F470" t="s">
        <v>23</v>
      </c>
      <c r="G470" t="s">
        <v>69</v>
      </c>
      <c r="H470" t="s">
        <v>52</v>
      </c>
      <c r="I470">
        <v>0</v>
      </c>
      <c r="J470">
        <v>76019</v>
      </c>
      <c r="K470" t="s">
        <v>35</v>
      </c>
      <c r="L470">
        <v>9</v>
      </c>
      <c r="M470">
        <v>29</v>
      </c>
      <c r="N470">
        <v>5</v>
      </c>
      <c r="O470" t="s">
        <v>27</v>
      </c>
      <c r="P470" t="s">
        <v>28</v>
      </c>
      <c r="Q470">
        <v>4</v>
      </c>
      <c r="R470" t="s">
        <v>28</v>
      </c>
      <c r="S470" t="s">
        <v>27</v>
      </c>
    </row>
    <row r="471" spans="1:19" x14ac:dyDescent="0.35">
      <c r="A471" t="s">
        <v>992</v>
      </c>
      <c r="B471" t="s">
        <v>993</v>
      </c>
      <c r="C471" t="s">
        <v>31</v>
      </c>
      <c r="D471">
        <v>26</v>
      </c>
      <c r="E471" t="s">
        <v>55</v>
      </c>
      <c r="F471" t="s">
        <v>23</v>
      </c>
      <c r="G471" t="s">
        <v>44</v>
      </c>
      <c r="H471" t="s">
        <v>131</v>
      </c>
      <c r="I471">
        <v>4</v>
      </c>
      <c r="J471">
        <v>62544</v>
      </c>
      <c r="K471" t="s">
        <v>45</v>
      </c>
      <c r="L471">
        <v>9</v>
      </c>
      <c r="M471">
        <v>34</v>
      </c>
      <c r="N471">
        <v>1</v>
      </c>
      <c r="O471" t="s">
        <v>27</v>
      </c>
      <c r="P471" t="s">
        <v>28</v>
      </c>
      <c r="Q471">
        <v>3</v>
      </c>
      <c r="R471" t="s">
        <v>27</v>
      </c>
      <c r="S471" t="s">
        <v>27</v>
      </c>
    </row>
    <row r="472" spans="1:19" x14ac:dyDescent="0.35">
      <c r="A472" t="s">
        <v>994</v>
      </c>
      <c r="B472" t="s">
        <v>995</v>
      </c>
      <c r="C472" t="s">
        <v>21</v>
      </c>
      <c r="D472">
        <v>28</v>
      </c>
      <c r="E472" t="s">
        <v>55</v>
      </c>
      <c r="F472" t="s">
        <v>48</v>
      </c>
      <c r="G472" t="s">
        <v>24</v>
      </c>
      <c r="H472" t="s">
        <v>70</v>
      </c>
      <c r="I472">
        <v>4</v>
      </c>
      <c r="J472">
        <v>48979</v>
      </c>
      <c r="K472" t="s">
        <v>35</v>
      </c>
      <c r="L472">
        <v>1</v>
      </c>
      <c r="M472">
        <v>41</v>
      </c>
      <c r="N472">
        <v>4</v>
      </c>
      <c r="O472" t="s">
        <v>27</v>
      </c>
      <c r="P472" t="s">
        <v>27</v>
      </c>
      <c r="Q472">
        <v>4</v>
      </c>
      <c r="R472" t="s">
        <v>27</v>
      </c>
      <c r="S472" t="s">
        <v>27</v>
      </c>
    </row>
    <row r="473" spans="1:19" x14ac:dyDescent="0.35">
      <c r="A473" t="s">
        <v>996</v>
      </c>
      <c r="B473" t="s">
        <v>997</v>
      </c>
      <c r="C473" t="s">
        <v>31</v>
      </c>
      <c r="D473">
        <v>21</v>
      </c>
      <c r="E473" t="s">
        <v>55</v>
      </c>
      <c r="F473" t="s">
        <v>43</v>
      </c>
      <c r="G473" t="s">
        <v>24</v>
      </c>
      <c r="H473" t="s">
        <v>70</v>
      </c>
      <c r="I473">
        <v>0</v>
      </c>
      <c r="J473">
        <v>77362</v>
      </c>
      <c r="K473" t="s">
        <v>26</v>
      </c>
      <c r="L473">
        <v>4</v>
      </c>
      <c r="M473">
        <v>29</v>
      </c>
      <c r="N473">
        <v>6</v>
      </c>
      <c r="O473" t="s">
        <v>27</v>
      </c>
      <c r="P473" t="s">
        <v>28</v>
      </c>
      <c r="Q473">
        <v>1</v>
      </c>
      <c r="R473" t="s">
        <v>28</v>
      </c>
      <c r="S473" t="s">
        <v>27</v>
      </c>
    </row>
    <row r="474" spans="1:19" x14ac:dyDescent="0.35">
      <c r="A474" t="s">
        <v>998</v>
      </c>
      <c r="B474" t="s">
        <v>999</v>
      </c>
      <c r="C474" t="s">
        <v>21</v>
      </c>
      <c r="D474">
        <v>25</v>
      </c>
      <c r="E474" t="s">
        <v>55</v>
      </c>
      <c r="F474" t="s">
        <v>64</v>
      </c>
      <c r="G474" t="s">
        <v>44</v>
      </c>
      <c r="H474" t="s">
        <v>131</v>
      </c>
      <c r="I474">
        <v>2</v>
      </c>
      <c r="J474">
        <v>54314</v>
      </c>
      <c r="K474" t="s">
        <v>35</v>
      </c>
      <c r="L474">
        <v>9</v>
      </c>
      <c r="M474">
        <v>49</v>
      </c>
      <c r="N474">
        <v>2</v>
      </c>
      <c r="O474" t="s">
        <v>28</v>
      </c>
      <c r="P474" t="s">
        <v>28</v>
      </c>
      <c r="Q474">
        <v>1</v>
      </c>
      <c r="R474" t="s">
        <v>28</v>
      </c>
      <c r="S474" t="s">
        <v>27</v>
      </c>
    </row>
    <row r="475" spans="1:19" x14ac:dyDescent="0.35">
      <c r="A475" t="s">
        <v>1000</v>
      </c>
      <c r="B475" t="s">
        <v>1001</v>
      </c>
      <c r="C475" t="s">
        <v>31</v>
      </c>
      <c r="D475">
        <v>55</v>
      </c>
      <c r="E475" t="s">
        <v>55</v>
      </c>
      <c r="F475" t="s">
        <v>48</v>
      </c>
      <c r="G475" t="s">
        <v>24</v>
      </c>
      <c r="H475" t="s">
        <v>61</v>
      </c>
      <c r="I475">
        <v>14</v>
      </c>
      <c r="J475">
        <v>54085</v>
      </c>
      <c r="K475" t="s">
        <v>45</v>
      </c>
      <c r="L475">
        <v>1</v>
      </c>
      <c r="M475">
        <v>21</v>
      </c>
      <c r="N475">
        <v>4</v>
      </c>
      <c r="O475" t="s">
        <v>28</v>
      </c>
      <c r="P475" t="s">
        <v>27</v>
      </c>
      <c r="Q475">
        <v>1</v>
      </c>
      <c r="R475" t="s">
        <v>27</v>
      </c>
      <c r="S475" t="s">
        <v>27</v>
      </c>
    </row>
    <row r="476" spans="1:19" x14ac:dyDescent="0.35">
      <c r="A476" t="s">
        <v>1002</v>
      </c>
      <c r="B476" t="s">
        <v>1003</v>
      </c>
      <c r="C476" t="s">
        <v>21</v>
      </c>
      <c r="D476">
        <v>38</v>
      </c>
      <c r="E476" t="s">
        <v>55</v>
      </c>
      <c r="F476" t="s">
        <v>48</v>
      </c>
      <c r="G476" t="s">
        <v>24</v>
      </c>
      <c r="H476" t="s">
        <v>49</v>
      </c>
      <c r="I476">
        <v>11</v>
      </c>
      <c r="J476">
        <v>55642</v>
      </c>
      <c r="K476" t="s">
        <v>45</v>
      </c>
      <c r="L476">
        <v>1</v>
      </c>
      <c r="M476">
        <v>28</v>
      </c>
      <c r="N476">
        <v>3</v>
      </c>
      <c r="O476" t="s">
        <v>27</v>
      </c>
      <c r="P476" t="s">
        <v>28</v>
      </c>
      <c r="Q476">
        <v>4</v>
      </c>
      <c r="R476" t="s">
        <v>27</v>
      </c>
      <c r="S476" t="s">
        <v>27</v>
      </c>
    </row>
    <row r="477" spans="1:19" x14ac:dyDescent="0.35">
      <c r="A477" t="s">
        <v>1004</v>
      </c>
      <c r="B477" t="s">
        <v>1005</v>
      </c>
      <c r="C477" t="s">
        <v>31</v>
      </c>
      <c r="D477">
        <v>54</v>
      </c>
      <c r="E477" t="s">
        <v>55</v>
      </c>
      <c r="F477" t="s">
        <v>39</v>
      </c>
      <c r="G477" t="s">
        <v>24</v>
      </c>
      <c r="H477" t="s">
        <v>25</v>
      </c>
      <c r="I477">
        <v>12</v>
      </c>
      <c r="J477">
        <v>62345</v>
      </c>
      <c r="K477" t="s">
        <v>35</v>
      </c>
      <c r="L477">
        <v>1</v>
      </c>
      <c r="M477">
        <v>40</v>
      </c>
      <c r="N477">
        <v>4</v>
      </c>
      <c r="O477" t="s">
        <v>28</v>
      </c>
      <c r="P477" t="s">
        <v>27</v>
      </c>
      <c r="Q477">
        <v>5</v>
      </c>
      <c r="R477" t="s">
        <v>27</v>
      </c>
      <c r="S477" t="s">
        <v>27</v>
      </c>
    </row>
    <row r="478" spans="1:19" x14ac:dyDescent="0.35">
      <c r="A478" t="s">
        <v>1006</v>
      </c>
      <c r="B478" t="s">
        <v>1007</v>
      </c>
      <c r="C478" t="s">
        <v>21</v>
      </c>
      <c r="D478">
        <v>42</v>
      </c>
      <c r="E478" t="s">
        <v>55</v>
      </c>
      <c r="F478" t="s">
        <v>33</v>
      </c>
      <c r="G478" t="s">
        <v>24</v>
      </c>
      <c r="H478" t="s">
        <v>131</v>
      </c>
      <c r="I478">
        <v>10</v>
      </c>
      <c r="J478">
        <v>60760</v>
      </c>
      <c r="K478" t="s">
        <v>45</v>
      </c>
      <c r="L478">
        <v>3</v>
      </c>
      <c r="M478">
        <v>25</v>
      </c>
      <c r="N478">
        <v>5</v>
      </c>
      <c r="O478" t="s">
        <v>27</v>
      </c>
      <c r="P478" t="s">
        <v>27</v>
      </c>
      <c r="Q478">
        <v>5</v>
      </c>
      <c r="R478" t="s">
        <v>27</v>
      </c>
      <c r="S478" t="s">
        <v>27</v>
      </c>
    </row>
    <row r="479" spans="1:19" x14ac:dyDescent="0.35">
      <c r="A479" t="s">
        <v>1008</v>
      </c>
      <c r="B479" t="s">
        <v>1009</v>
      </c>
      <c r="C479" t="s">
        <v>31</v>
      </c>
      <c r="D479">
        <v>40</v>
      </c>
      <c r="E479" t="s">
        <v>55</v>
      </c>
      <c r="F479" t="s">
        <v>64</v>
      </c>
      <c r="G479" t="s">
        <v>69</v>
      </c>
      <c r="H479" t="s">
        <v>49</v>
      </c>
      <c r="I479">
        <v>8</v>
      </c>
      <c r="J479">
        <v>61395</v>
      </c>
      <c r="K479" t="s">
        <v>35</v>
      </c>
      <c r="L479">
        <v>1</v>
      </c>
      <c r="M479">
        <v>42</v>
      </c>
      <c r="N479">
        <v>4</v>
      </c>
      <c r="O479" t="s">
        <v>27</v>
      </c>
      <c r="P479" t="s">
        <v>28</v>
      </c>
      <c r="Q479">
        <v>5</v>
      </c>
      <c r="R479" t="s">
        <v>27</v>
      </c>
      <c r="S479" t="s">
        <v>27</v>
      </c>
    </row>
    <row r="480" spans="1:19" x14ac:dyDescent="0.35">
      <c r="A480" t="s">
        <v>1010</v>
      </c>
      <c r="B480" t="s">
        <v>1011</v>
      </c>
      <c r="C480" t="s">
        <v>31</v>
      </c>
      <c r="D480">
        <v>49</v>
      </c>
      <c r="E480" t="s">
        <v>38</v>
      </c>
      <c r="F480" t="s">
        <v>33</v>
      </c>
      <c r="G480" t="s">
        <v>24</v>
      </c>
      <c r="H480" t="s">
        <v>52</v>
      </c>
      <c r="I480">
        <v>15</v>
      </c>
      <c r="J480">
        <v>63681</v>
      </c>
      <c r="K480" t="s">
        <v>26</v>
      </c>
      <c r="L480">
        <v>3</v>
      </c>
      <c r="M480">
        <v>20</v>
      </c>
      <c r="N480">
        <v>3</v>
      </c>
      <c r="O480" t="s">
        <v>28</v>
      </c>
      <c r="P480" t="s">
        <v>28</v>
      </c>
      <c r="Q480">
        <v>2</v>
      </c>
      <c r="R480" t="s">
        <v>28</v>
      </c>
      <c r="S480" t="s">
        <v>27</v>
      </c>
    </row>
    <row r="481" spans="1:19" x14ac:dyDescent="0.35">
      <c r="A481" t="s">
        <v>1012</v>
      </c>
      <c r="B481" t="s">
        <v>1013</v>
      </c>
      <c r="C481" t="s">
        <v>21</v>
      </c>
      <c r="D481">
        <v>55</v>
      </c>
      <c r="E481" t="s">
        <v>32</v>
      </c>
      <c r="F481" t="s">
        <v>33</v>
      </c>
      <c r="G481" t="s">
        <v>44</v>
      </c>
      <c r="H481" t="s">
        <v>25</v>
      </c>
      <c r="I481">
        <v>17</v>
      </c>
      <c r="J481">
        <v>61451</v>
      </c>
      <c r="K481" t="s">
        <v>26</v>
      </c>
      <c r="L481">
        <v>5</v>
      </c>
      <c r="M481">
        <v>28</v>
      </c>
      <c r="N481">
        <v>2</v>
      </c>
      <c r="O481" t="s">
        <v>28</v>
      </c>
      <c r="P481" t="s">
        <v>28</v>
      </c>
      <c r="Q481">
        <v>4</v>
      </c>
      <c r="R481" t="s">
        <v>27</v>
      </c>
      <c r="S481" t="s">
        <v>27</v>
      </c>
    </row>
    <row r="482" spans="1:19" x14ac:dyDescent="0.35">
      <c r="A482" t="s">
        <v>1014</v>
      </c>
      <c r="B482" t="s">
        <v>1015</v>
      </c>
      <c r="C482" t="s">
        <v>21</v>
      </c>
      <c r="D482">
        <v>24</v>
      </c>
      <c r="E482" t="s">
        <v>22</v>
      </c>
      <c r="F482" t="s">
        <v>33</v>
      </c>
      <c r="G482" t="s">
        <v>24</v>
      </c>
      <c r="H482" t="s">
        <v>61</v>
      </c>
      <c r="I482">
        <v>2</v>
      </c>
      <c r="J482">
        <v>46959</v>
      </c>
      <c r="K482" t="s">
        <v>26</v>
      </c>
      <c r="L482">
        <v>2</v>
      </c>
      <c r="M482">
        <v>11</v>
      </c>
      <c r="N482">
        <v>2</v>
      </c>
      <c r="O482" t="s">
        <v>27</v>
      </c>
      <c r="P482" t="s">
        <v>28</v>
      </c>
      <c r="Q482">
        <v>2</v>
      </c>
      <c r="R482" t="s">
        <v>27</v>
      </c>
      <c r="S482" t="s">
        <v>27</v>
      </c>
    </row>
    <row r="483" spans="1:19" x14ac:dyDescent="0.35">
      <c r="A483" t="s">
        <v>1016</v>
      </c>
      <c r="B483" t="s">
        <v>1017</v>
      </c>
      <c r="C483" t="s">
        <v>21</v>
      </c>
      <c r="D483">
        <v>35</v>
      </c>
      <c r="E483" t="s">
        <v>38</v>
      </c>
      <c r="F483" t="s">
        <v>60</v>
      </c>
      <c r="G483" t="s">
        <v>24</v>
      </c>
      <c r="H483" t="s">
        <v>25</v>
      </c>
      <c r="I483">
        <v>9</v>
      </c>
      <c r="J483">
        <v>60160</v>
      </c>
      <c r="K483" t="s">
        <v>35</v>
      </c>
      <c r="L483">
        <v>9</v>
      </c>
      <c r="M483">
        <v>33</v>
      </c>
      <c r="N483">
        <v>6</v>
      </c>
      <c r="O483" t="s">
        <v>28</v>
      </c>
      <c r="P483" t="s">
        <v>28</v>
      </c>
      <c r="Q483">
        <v>3</v>
      </c>
      <c r="R483" t="s">
        <v>28</v>
      </c>
      <c r="S483" t="s">
        <v>27</v>
      </c>
    </row>
    <row r="484" spans="1:19" x14ac:dyDescent="0.35">
      <c r="A484" t="s">
        <v>1018</v>
      </c>
      <c r="B484" t="s">
        <v>1019</v>
      </c>
      <c r="C484" t="s">
        <v>21</v>
      </c>
      <c r="D484">
        <v>24</v>
      </c>
      <c r="E484" t="s">
        <v>55</v>
      </c>
      <c r="F484" t="s">
        <v>43</v>
      </c>
      <c r="G484" t="s">
        <v>69</v>
      </c>
      <c r="H484" t="s">
        <v>52</v>
      </c>
      <c r="I484">
        <v>2</v>
      </c>
      <c r="J484">
        <v>71532</v>
      </c>
      <c r="K484" t="s">
        <v>35</v>
      </c>
      <c r="L484">
        <v>8</v>
      </c>
      <c r="M484">
        <v>33</v>
      </c>
      <c r="N484">
        <v>3</v>
      </c>
      <c r="O484" t="s">
        <v>27</v>
      </c>
      <c r="P484" t="s">
        <v>28</v>
      </c>
      <c r="Q484">
        <v>4</v>
      </c>
      <c r="R484" t="s">
        <v>27</v>
      </c>
      <c r="S484" t="s">
        <v>27</v>
      </c>
    </row>
    <row r="485" spans="1:19" x14ac:dyDescent="0.35">
      <c r="A485" t="s">
        <v>1020</v>
      </c>
      <c r="B485" t="s">
        <v>1021</v>
      </c>
      <c r="C485" t="s">
        <v>31</v>
      </c>
      <c r="D485">
        <v>42</v>
      </c>
      <c r="E485" t="s">
        <v>55</v>
      </c>
      <c r="F485" t="s">
        <v>48</v>
      </c>
      <c r="G485" t="s">
        <v>24</v>
      </c>
      <c r="H485" t="s">
        <v>61</v>
      </c>
      <c r="I485">
        <v>9</v>
      </c>
      <c r="J485">
        <v>42438</v>
      </c>
      <c r="K485" t="s">
        <v>26</v>
      </c>
      <c r="L485">
        <v>10</v>
      </c>
      <c r="M485">
        <v>45</v>
      </c>
      <c r="N485">
        <v>5</v>
      </c>
      <c r="O485" t="s">
        <v>27</v>
      </c>
      <c r="P485" t="s">
        <v>28</v>
      </c>
      <c r="Q485">
        <v>3</v>
      </c>
      <c r="R485" t="s">
        <v>27</v>
      </c>
      <c r="S485" t="s">
        <v>27</v>
      </c>
    </row>
    <row r="486" spans="1:19" x14ac:dyDescent="0.35">
      <c r="A486" t="s">
        <v>1022</v>
      </c>
      <c r="B486" t="s">
        <v>1023</v>
      </c>
      <c r="C486" t="s">
        <v>21</v>
      </c>
      <c r="D486">
        <v>30</v>
      </c>
      <c r="E486" t="s">
        <v>38</v>
      </c>
      <c r="F486" t="s">
        <v>43</v>
      </c>
      <c r="G486" t="s">
        <v>69</v>
      </c>
      <c r="H486" t="s">
        <v>131</v>
      </c>
      <c r="I486">
        <v>6</v>
      </c>
      <c r="J486">
        <v>68186</v>
      </c>
      <c r="K486" t="s">
        <v>40</v>
      </c>
      <c r="L486">
        <v>2</v>
      </c>
      <c r="M486">
        <v>29</v>
      </c>
      <c r="N486">
        <v>3</v>
      </c>
      <c r="O486" t="s">
        <v>27</v>
      </c>
      <c r="P486" t="s">
        <v>27</v>
      </c>
      <c r="Q486">
        <v>1</v>
      </c>
      <c r="R486" t="s">
        <v>27</v>
      </c>
      <c r="S486" t="s">
        <v>27</v>
      </c>
    </row>
    <row r="487" spans="1:19" x14ac:dyDescent="0.35">
      <c r="A487" t="s">
        <v>1024</v>
      </c>
      <c r="B487" t="s">
        <v>1025</v>
      </c>
      <c r="C487" t="s">
        <v>21</v>
      </c>
      <c r="D487">
        <v>42</v>
      </c>
      <c r="E487" t="s">
        <v>32</v>
      </c>
      <c r="F487" t="s">
        <v>39</v>
      </c>
      <c r="G487" t="s">
        <v>24</v>
      </c>
      <c r="H487" t="s">
        <v>131</v>
      </c>
      <c r="I487">
        <v>13</v>
      </c>
      <c r="J487">
        <v>62514</v>
      </c>
      <c r="K487" t="s">
        <v>35</v>
      </c>
      <c r="L487">
        <v>6</v>
      </c>
      <c r="M487">
        <v>35</v>
      </c>
      <c r="N487">
        <v>4</v>
      </c>
      <c r="O487" t="s">
        <v>27</v>
      </c>
      <c r="P487" t="s">
        <v>28</v>
      </c>
      <c r="Q487">
        <v>5</v>
      </c>
      <c r="R487" t="s">
        <v>28</v>
      </c>
      <c r="S487" t="s">
        <v>27</v>
      </c>
    </row>
    <row r="488" spans="1:19" x14ac:dyDescent="0.35">
      <c r="A488" t="s">
        <v>1026</v>
      </c>
      <c r="B488" t="s">
        <v>1027</v>
      </c>
      <c r="C488" t="s">
        <v>21</v>
      </c>
      <c r="D488">
        <v>28</v>
      </c>
      <c r="E488" t="s">
        <v>55</v>
      </c>
      <c r="F488" t="s">
        <v>33</v>
      </c>
      <c r="G488" t="s">
        <v>69</v>
      </c>
      <c r="H488" t="s">
        <v>25</v>
      </c>
      <c r="I488">
        <v>4</v>
      </c>
      <c r="J488">
        <v>61028</v>
      </c>
      <c r="K488" t="s">
        <v>45</v>
      </c>
      <c r="L488">
        <v>3</v>
      </c>
      <c r="M488">
        <v>38</v>
      </c>
      <c r="N488">
        <v>6</v>
      </c>
      <c r="O488" t="s">
        <v>27</v>
      </c>
      <c r="P488" t="s">
        <v>27</v>
      </c>
      <c r="Q488">
        <v>1</v>
      </c>
      <c r="R488" t="s">
        <v>27</v>
      </c>
      <c r="S488" t="s">
        <v>27</v>
      </c>
    </row>
    <row r="489" spans="1:19" x14ac:dyDescent="0.35">
      <c r="A489" t="s">
        <v>1028</v>
      </c>
      <c r="B489" t="s">
        <v>1029</v>
      </c>
      <c r="C489" t="s">
        <v>31</v>
      </c>
      <c r="D489">
        <v>25</v>
      </c>
      <c r="E489" t="s">
        <v>55</v>
      </c>
      <c r="F489" t="s">
        <v>64</v>
      </c>
      <c r="G489" t="s">
        <v>24</v>
      </c>
      <c r="H489" t="s">
        <v>61</v>
      </c>
      <c r="I489">
        <v>2</v>
      </c>
      <c r="J489">
        <v>62573</v>
      </c>
      <c r="K489" t="s">
        <v>45</v>
      </c>
      <c r="L489">
        <v>7</v>
      </c>
      <c r="M489">
        <v>42</v>
      </c>
      <c r="N489">
        <v>7</v>
      </c>
      <c r="O489" t="s">
        <v>28</v>
      </c>
      <c r="P489" t="s">
        <v>28</v>
      </c>
      <c r="Q489">
        <v>3</v>
      </c>
      <c r="R489" t="s">
        <v>28</v>
      </c>
      <c r="S489" t="s">
        <v>28</v>
      </c>
    </row>
    <row r="490" spans="1:19" x14ac:dyDescent="0.35">
      <c r="A490" t="s">
        <v>1030</v>
      </c>
      <c r="B490" t="s">
        <v>1031</v>
      </c>
      <c r="C490" t="s">
        <v>21</v>
      </c>
      <c r="D490">
        <v>55</v>
      </c>
      <c r="E490" t="s">
        <v>22</v>
      </c>
      <c r="F490" t="s">
        <v>23</v>
      </c>
      <c r="G490" t="s">
        <v>69</v>
      </c>
      <c r="H490" t="s">
        <v>131</v>
      </c>
      <c r="I490">
        <v>19</v>
      </c>
      <c r="J490">
        <v>70128</v>
      </c>
      <c r="K490" t="s">
        <v>45</v>
      </c>
      <c r="L490">
        <v>4</v>
      </c>
      <c r="M490">
        <v>17</v>
      </c>
      <c r="N490">
        <v>2</v>
      </c>
      <c r="O490" t="s">
        <v>27</v>
      </c>
      <c r="P490" t="s">
        <v>27</v>
      </c>
      <c r="Q490">
        <v>1</v>
      </c>
      <c r="R490" t="s">
        <v>27</v>
      </c>
      <c r="S490" t="s">
        <v>27</v>
      </c>
    </row>
    <row r="491" spans="1:19" x14ac:dyDescent="0.35">
      <c r="A491" t="s">
        <v>1032</v>
      </c>
      <c r="B491" t="s">
        <v>1033</v>
      </c>
      <c r="C491" t="s">
        <v>21</v>
      </c>
      <c r="D491">
        <v>49</v>
      </c>
      <c r="E491" t="s">
        <v>55</v>
      </c>
      <c r="F491" t="s">
        <v>23</v>
      </c>
      <c r="G491" t="s">
        <v>24</v>
      </c>
      <c r="H491" t="s">
        <v>131</v>
      </c>
      <c r="I491">
        <v>16</v>
      </c>
      <c r="J491">
        <v>77288</v>
      </c>
      <c r="K491" t="s">
        <v>45</v>
      </c>
      <c r="L491">
        <v>5</v>
      </c>
      <c r="M491">
        <v>32</v>
      </c>
      <c r="N491">
        <v>2</v>
      </c>
      <c r="O491" t="s">
        <v>27</v>
      </c>
      <c r="P491" t="s">
        <v>27</v>
      </c>
      <c r="Q491">
        <v>5</v>
      </c>
      <c r="R491" t="s">
        <v>27</v>
      </c>
      <c r="S491" t="s">
        <v>27</v>
      </c>
    </row>
    <row r="492" spans="1:19" x14ac:dyDescent="0.35">
      <c r="A492" t="s">
        <v>1034</v>
      </c>
      <c r="B492" t="s">
        <v>1035</v>
      </c>
      <c r="C492" t="s">
        <v>31</v>
      </c>
      <c r="D492">
        <v>36</v>
      </c>
      <c r="E492" t="s">
        <v>55</v>
      </c>
      <c r="F492" t="s">
        <v>33</v>
      </c>
      <c r="G492" t="s">
        <v>24</v>
      </c>
      <c r="H492" t="s">
        <v>52</v>
      </c>
      <c r="I492">
        <v>10</v>
      </c>
      <c r="J492">
        <v>75327</v>
      </c>
      <c r="K492" t="s">
        <v>45</v>
      </c>
      <c r="L492">
        <v>2</v>
      </c>
      <c r="M492">
        <v>39</v>
      </c>
      <c r="N492">
        <v>2</v>
      </c>
      <c r="O492" t="s">
        <v>27</v>
      </c>
      <c r="P492" t="s">
        <v>28</v>
      </c>
      <c r="Q492">
        <v>5</v>
      </c>
      <c r="R492" t="s">
        <v>27</v>
      </c>
      <c r="S492" t="s">
        <v>27</v>
      </c>
    </row>
    <row r="493" spans="1:19" x14ac:dyDescent="0.35">
      <c r="A493" t="s">
        <v>1036</v>
      </c>
      <c r="B493" t="s">
        <v>1037</v>
      </c>
      <c r="C493" t="s">
        <v>31</v>
      </c>
      <c r="D493">
        <v>24</v>
      </c>
      <c r="E493" t="s">
        <v>55</v>
      </c>
      <c r="F493" t="s">
        <v>23</v>
      </c>
      <c r="G493" t="s">
        <v>44</v>
      </c>
      <c r="H493" t="s">
        <v>34</v>
      </c>
      <c r="I493">
        <v>1</v>
      </c>
      <c r="J493">
        <v>73496</v>
      </c>
      <c r="K493" t="s">
        <v>45</v>
      </c>
      <c r="L493">
        <v>5</v>
      </c>
      <c r="M493">
        <v>22</v>
      </c>
      <c r="N493">
        <v>5</v>
      </c>
      <c r="O493" t="s">
        <v>27</v>
      </c>
      <c r="P493" t="s">
        <v>27</v>
      </c>
      <c r="Q493">
        <v>2</v>
      </c>
      <c r="R493" t="s">
        <v>27</v>
      </c>
      <c r="S493" t="s">
        <v>27</v>
      </c>
    </row>
    <row r="494" spans="1:19" x14ac:dyDescent="0.35">
      <c r="A494" t="s">
        <v>1038</v>
      </c>
      <c r="B494" t="s">
        <v>1039</v>
      </c>
      <c r="C494" t="s">
        <v>31</v>
      </c>
      <c r="D494">
        <v>24</v>
      </c>
      <c r="E494" t="s">
        <v>55</v>
      </c>
      <c r="F494" t="s">
        <v>39</v>
      </c>
      <c r="G494" t="s">
        <v>24</v>
      </c>
      <c r="H494" t="s">
        <v>25</v>
      </c>
      <c r="I494">
        <v>1</v>
      </c>
      <c r="J494">
        <v>55822</v>
      </c>
      <c r="K494" t="s">
        <v>45</v>
      </c>
      <c r="L494">
        <v>6</v>
      </c>
      <c r="M494">
        <v>11</v>
      </c>
      <c r="N494">
        <v>1</v>
      </c>
      <c r="O494" t="s">
        <v>28</v>
      </c>
      <c r="P494" t="s">
        <v>28</v>
      </c>
      <c r="Q494">
        <v>5</v>
      </c>
      <c r="R494" t="s">
        <v>27</v>
      </c>
      <c r="S494" t="s">
        <v>28</v>
      </c>
    </row>
    <row r="495" spans="1:19" x14ac:dyDescent="0.35">
      <c r="A495" t="s">
        <v>1040</v>
      </c>
      <c r="B495" t="s">
        <v>1041</v>
      </c>
      <c r="C495" t="s">
        <v>31</v>
      </c>
      <c r="D495">
        <v>24</v>
      </c>
      <c r="E495" t="s">
        <v>22</v>
      </c>
      <c r="F495" t="s">
        <v>33</v>
      </c>
      <c r="G495" t="s">
        <v>24</v>
      </c>
      <c r="H495" t="s">
        <v>61</v>
      </c>
      <c r="I495">
        <v>2</v>
      </c>
      <c r="J495">
        <v>53060</v>
      </c>
      <c r="K495" t="s">
        <v>35</v>
      </c>
      <c r="L495">
        <v>9</v>
      </c>
      <c r="M495">
        <v>2</v>
      </c>
      <c r="N495">
        <v>6</v>
      </c>
      <c r="O495" t="s">
        <v>27</v>
      </c>
      <c r="P495" t="s">
        <v>28</v>
      </c>
      <c r="Q495">
        <v>3</v>
      </c>
      <c r="R495" t="s">
        <v>28</v>
      </c>
      <c r="S495" t="s">
        <v>27</v>
      </c>
    </row>
    <row r="496" spans="1:19" x14ac:dyDescent="0.35">
      <c r="A496" t="s">
        <v>1042</v>
      </c>
      <c r="B496" t="s">
        <v>1043</v>
      </c>
      <c r="C496" t="s">
        <v>21</v>
      </c>
      <c r="D496">
        <v>43</v>
      </c>
      <c r="E496" t="s">
        <v>38</v>
      </c>
      <c r="F496" t="s">
        <v>48</v>
      </c>
      <c r="G496" t="s">
        <v>24</v>
      </c>
      <c r="H496" t="s">
        <v>70</v>
      </c>
      <c r="I496">
        <v>12</v>
      </c>
      <c r="J496">
        <v>59554</v>
      </c>
      <c r="K496" t="s">
        <v>26</v>
      </c>
      <c r="L496">
        <v>8</v>
      </c>
      <c r="M496">
        <v>47</v>
      </c>
      <c r="N496">
        <v>6</v>
      </c>
      <c r="O496" t="s">
        <v>27</v>
      </c>
      <c r="P496" t="s">
        <v>28</v>
      </c>
      <c r="Q496">
        <v>4</v>
      </c>
      <c r="R496" t="s">
        <v>28</v>
      </c>
      <c r="S496" t="s">
        <v>28</v>
      </c>
    </row>
    <row r="497" spans="1:19" x14ac:dyDescent="0.35">
      <c r="A497" t="s">
        <v>1044</v>
      </c>
      <c r="B497" t="s">
        <v>1045</v>
      </c>
      <c r="C497" t="s">
        <v>31</v>
      </c>
      <c r="D497">
        <v>41</v>
      </c>
      <c r="E497" t="s">
        <v>32</v>
      </c>
      <c r="F497" t="s">
        <v>48</v>
      </c>
      <c r="G497" t="s">
        <v>24</v>
      </c>
      <c r="H497" t="s">
        <v>131</v>
      </c>
      <c r="I497">
        <v>13</v>
      </c>
      <c r="J497">
        <v>45219</v>
      </c>
      <c r="K497" t="s">
        <v>45</v>
      </c>
      <c r="L497">
        <v>9</v>
      </c>
      <c r="M497">
        <v>43</v>
      </c>
      <c r="N497">
        <v>2</v>
      </c>
      <c r="O497" t="s">
        <v>27</v>
      </c>
      <c r="P497" t="s">
        <v>28</v>
      </c>
      <c r="Q497">
        <v>3</v>
      </c>
      <c r="R497" t="s">
        <v>27</v>
      </c>
      <c r="S497" t="s">
        <v>27</v>
      </c>
    </row>
    <row r="498" spans="1:19" x14ac:dyDescent="0.35">
      <c r="A498" t="s">
        <v>1046</v>
      </c>
      <c r="B498" t="s">
        <v>1047</v>
      </c>
      <c r="C498" t="s">
        <v>31</v>
      </c>
      <c r="D498">
        <v>29</v>
      </c>
      <c r="E498" t="s">
        <v>38</v>
      </c>
      <c r="F498" t="s">
        <v>48</v>
      </c>
      <c r="G498" t="s">
        <v>24</v>
      </c>
      <c r="H498" t="s">
        <v>70</v>
      </c>
      <c r="I498">
        <v>6</v>
      </c>
      <c r="J498">
        <v>43886</v>
      </c>
      <c r="K498" t="s">
        <v>45</v>
      </c>
      <c r="L498">
        <v>4</v>
      </c>
      <c r="M498">
        <v>53</v>
      </c>
      <c r="N498">
        <v>4</v>
      </c>
      <c r="O498" t="s">
        <v>27</v>
      </c>
      <c r="P498" t="s">
        <v>27</v>
      </c>
      <c r="Q498">
        <v>1</v>
      </c>
      <c r="R498" t="s">
        <v>27</v>
      </c>
      <c r="S498" t="s">
        <v>27</v>
      </c>
    </row>
    <row r="499" spans="1:19" x14ac:dyDescent="0.35">
      <c r="A499" t="s">
        <v>1048</v>
      </c>
      <c r="B499" t="s">
        <v>1049</v>
      </c>
      <c r="C499" t="s">
        <v>31</v>
      </c>
      <c r="D499">
        <v>52</v>
      </c>
      <c r="E499" t="s">
        <v>55</v>
      </c>
      <c r="F499" t="s">
        <v>23</v>
      </c>
      <c r="G499" t="s">
        <v>69</v>
      </c>
      <c r="H499" t="s">
        <v>34</v>
      </c>
      <c r="I499">
        <v>18</v>
      </c>
      <c r="J499">
        <v>68944</v>
      </c>
      <c r="K499" t="s">
        <v>45</v>
      </c>
      <c r="L499">
        <v>2</v>
      </c>
      <c r="M499">
        <v>22</v>
      </c>
      <c r="N499">
        <v>5</v>
      </c>
      <c r="O499" t="s">
        <v>28</v>
      </c>
      <c r="P499" t="s">
        <v>28</v>
      </c>
      <c r="Q499">
        <v>1</v>
      </c>
      <c r="R499" t="s">
        <v>27</v>
      </c>
      <c r="S499" t="s">
        <v>28</v>
      </c>
    </row>
    <row r="500" spans="1:19" x14ac:dyDescent="0.35">
      <c r="A500" t="s">
        <v>1050</v>
      </c>
      <c r="B500" t="s">
        <v>1051</v>
      </c>
      <c r="C500" t="s">
        <v>31</v>
      </c>
      <c r="D500">
        <v>26</v>
      </c>
      <c r="E500" t="s">
        <v>38</v>
      </c>
      <c r="F500" t="s">
        <v>33</v>
      </c>
      <c r="G500" t="s">
        <v>69</v>
      </c>
      <c r="H500" t="s">
        <v>131</v>
      </c>
      <c r="I500">
        <v>3</v>
      </c>
      <c r="J500">
        <v>60703</v>
      </c>
      <c r="K500" t="s">
        <v>45</v>
      </c>
      <c r="L500">
        <v>6</v>
      </c>
      <c r="M500">
        <v>27</v>
      </c>
      <c r="N500">
        <v>0</v>
      </c>
      <c r="O500" t="s">
        <v>28</v>
      </c>
      <c r="P500" t="s">
        <v>27</v>
      </c>
      <c r="Q500">
        <v>2</v>
      </c>
      <c r="R500" t="s">
        <v>27</v>
      </c>
      <c r="S500" t="s">
        <v>27</v>
      </c>
    </row>
    <row r="501" spans="1:19" x14ac:dyDescent="0.35">
      <c r="A501" t="s">
        <v>1052</v>
      </c>
      <c r="B501" t="s">
        <v>1053</v>
      </c>
      <c r="C501" t="s">
        <v>31</v>
      </c>
      <c r="D501">
        <v>53</v>
      </c>
      <c r="E501" t="s">
        <v>55</v>
      </c>
      <c r="F501" t="s">
        <v>39</v>
      </c>
      <c r="G501" t="s">
        <v>24</v>
      </c>
      <c r="H501" t="s">
        <v>70</v>
      </c>
      <c r="I501">
        <v>21</v>
      </c>
      <c r="J501">
        <v>70982</v>
      </c>
      <c r="K501" t="s">
        <v>40</v>
      </c>
      <c r="L501">
        <v>4</v>
      </c>
      <c r="M501">
        <v>51</v>
      </c>
      <c r="N501">
        <v>4</v>
      </c>
      <c r="O501" t="s">
        <v>27</v>
      </c>
      <c r="P501" t="s">
        <v>27</v>
      </c>
      <c r="Q501">
        <v>1</v>
      </c>
      <c r="R501" t="s">
        <v>27</v>
      </c>
      <c r="S501" t="s">
        <v>28</v>
      </c>
    </row>
    <row r="502" spans="1:19" x14ac:dyDescent="0.35">
      <c r="A502" t="s">
        <v>148</v>
      </c>
      <c r="B502" t="s">
        <v>149</v>
      </c>
      <c r="C502" t="s">
        <v>31</v>
      </c>
      <c r="D502">
        <v>42</v>
      </c>
      <c r="E502" t="s">
        <v>55</v>
      </c>
      <c r="F502" t="s">
        <v>48</v>
      </c>
      <c r="G502" t="s">
        <v>24</v>
      </c>
      <c r="H502" t="s">
        <v>52</v>
      </c>
      <c r="I502">
        <v>9</v>
      </c>
      <c r="J502">
        <v>43441</v>
      </c>
      <c r="K502" t="s">
        <v>40</v>
      </c>
      <c r="L502">
        <v>3</v>
      </c>
      <c r="M502">
        <v>18</v>
      </c>
      <c r="N502">
        <v>5</v>
      </c>
      <c r="O502" t="s">
        <v>27</v>
      </c>
      <c r="P502" t="s">
        <v>27</v>
      </c>
      <c r="Q502">
        <v>3</v>
      </c>
      <c r="R502" t="s">
        <v>28</v>
      </c>
      <c r="S502" t="s">
        <v>27</v>
      </c>
    </row>
    <row r="503" spans="1:19" x14ac:dyDescent="0.35">
      <c r="A503" t="s">
        <v>400</v>
      </c>
      <c r="B503" t="s">
        <v>401</v>
      </c>
      <c r="C503" t="s">
        <v>31</v>
      </c>
      <c r="D503">
        <v>40</v>
      </c>
      <c r="E503" t="s">
        <v>38</v>
      </c>
      <c r="F503" t="s">
        <v>64</v>
      </c>
      <c r="G503" t="s">
        <v>24</v>
      </c>
      <c r="H503" t="s">
        <v>25</v>
      </c>
      <c r="I503">
        <v>15</v>
      </c>
      <c r="J503">
        <v>59858</v>
      </c>
      <c r="K503" t="s">
        <v>45</v>
      </c>
      <c r="L503">
        <v>1</v>
      </c>
      <c r="M503">
        <v>30</v>
      </c>
      <c r="N503">
        <v>4</v>
      </c>
      <c r="O503" t="s">
        <v>28</v>
      </c>
      <c r="P503" t="s">
        <v>27</v>
      </c>
      <c r="Q503">
        <v>4</v>
      </c>
      <c r="R503" t="s">
        <v>28</v>
      </c>
      <c r="S503" t="s">
        <v>27</v>
      </c>
    </row>
  </sheetData>
  <autoFilter ref="A1:S50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</cols>
  <sheetData>
    <row r="1" spans="1:2" x14ac:dyDescent="0.35">
      <c r="A1" s="1" t="s">
        <v>10</v>
      </c>
      <c r="B1" s="1" t="s">
        <v>1054</v>
      </c>
    </row>
    <row r="2" spans="1:2" x14ac:dyDescent="0.35">
      <c r="A2" t="s">
        <v>35</v>
      </c>
      <c r="B2">
        <v>4</v>
      </c>
    </row>
    <row r="3" spans="1:2" x14ac:dyDescent="0.35">
      <c r="A3" t="s">
        <v>45</v>
      </c>
      <c r="B3">
        <v>3</v>
      </c>
    </row>
    <row r="4" spans="1:2" x14ac:dyDescent="0.35">
      <c r="A4" t="s">
        <v>26</v>
      </c>
      <c r="B4">
        <v>2</v>
      </c>
    </row>
    <row r="5" spans="1:2" x14ac:dyDescent="0.35">
      <c r="A5" t="s">
        <v>40</v>
      </c>
      <c r="B5">
        <v>1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2" customWidth="1"/>
  </cols>
  <sheetData>
    <row r="1" spans="1:2" x14ac:dyDescent="0.35">
      <c r="A1" s="1" t="s">
        <v>1055</v>
      </c>
      <c r="B1" s="1" t="s">
        <v>1056</v>
      </c>
    </row>
    <row r="2" spans="1:2" x14ac:dyDescent="0.35">
      <c r="A2" t="s">
        <v>0</v>
      </c>
      <c r="B2" t="s">
        <v>1057</v>
      </c>
    </row>
    <row r="3" spans="1:2" x14ac:dyDescent="0.35">
      <c r="A3" t="s">
        <v>1</v>
      </c>
      <c r="B3" t="s">
        <v>1058</v>
      </c>
    </row>
    <row r="4" spans="1:2" x14ac:dyDescent="0.35">
      <c r="A4" t="s">
        <v>2</v>
      </c>
      <c r="B4" t="s">
        <v>1059</v>
      </c>
    </row>
    <row r="5" spans="1:2" x14ac:dyDescent="0.35">
      <c r="A5" t="s">
        <v>3</v>
      </c>
      <c r="B5" t="s">
        <v>1060</v>
      </c>
    </row>
    <row r="6" spans="1:2" x14ac:dyDescent="0.35">
      <c r="A6" t="s">
        <v>4</v>
      </c>
      <c r="B6" t="s">
        <v>1061</v>
      </c>
    </row>
    <row r="7" spans="1:2" x14ac:dyDescent="0.35">
      <c r="A7" t="s">
        <v>5</v>
      </c>
      <c r="B7" t="s">
        <v>1062</v>
      </c>
    </row>
    <row r="8" spans="1:2" x14ac:dyDescent="0.35">
      <c r="A8" t="s">
        <v>6</v>
      </c>
      <c r="B8" t="s">
        <v>1063</v>
      </c>
    </row>
    <row r="9" spans="1:2" x14ac:dyDescent="0.35">
      <c r="A9" t="s">
        <v>7</v>
      </c>
      <c r="B9" t="s">
        <v>1064</v>
      </c>
    </row>
    <row r="10" spans="1:2" x14ac:dyDescent="0.35">
      <c r="A10" t="s">
        <v>8</v>
      </c>
      <c r="B10" t="s">
        <v>1065</v>
      </c>
    </row>
    <row r="11" spans="1:2" x14ac:dyDescent="0.35">
      <c r="A11" t="s">
        <v>9</v>
      </c>
      <c r="B11" t="s">
        <v>1066</v>
      </c>
    </row>
    <row r="12" spans="1:2" x14ac:dyDescent="0.35">
      <c r="A12" t="s">
        <v>10</v>
      </c>
      <c r="B12" t="s">
        <v>1067</v>
      </c>
    </row>
    <row r="13" spans="1:2" x14ac:dyDescent="0.35">
      <c r="A13" t="s">
        <v>11</v>
      </c>
      <c r="B13" t="s">
        <v>1068</v>
      </c>
    </row>
    <row r="14" spans="1:2" x14ac:dyDescent="0.35">
      <c r="A14" t="s">
        <v>12</v>
      </c>
      <c r="B14" t="s">
        <v>1069</v>
      </c>
    </row>
    <row r="15" spans="1:2" x14ac:dyDescent="0.35">
      <c r="A15" t="s">
        <v>13</v>
      </c>
      <c r="B15" t="s">
        <v>1070</v>
      </c>
    </row>
    <row r="16" spans="1:2" x14ac:dyDescent="0.35">
      <c r="A16" t="s">
        <v>14</v>
      </c>
      <c r="B16" t="s">
        <v>1071</v>
      </c>
    </row>
    <row r="17" spans="1:2" x14ac:dyDescent="0.35">
      <c r="A17" t="s">
        <v>15</v>
      </c>
      <c r="B17" t="s">
        <v>1072</v>
      </c>
    </row>
    <row r="18" spans="1:2" x14ac:dyDescent="0.35">
      <c r="A18" t="s">
        <v>16</v>
      </c>
      <c r="B18" t="s">
        <v>1073</v>
      </c>
    </row>
    <row r="19" spans="1:2" x14ac:dyDescent="0.35">
      <c r="A19" t="s">
        <v>17</v>
      </c>
      <c r="B19" t="s">
        <v>1074</v>
      </c>
    </row>
    <row r="20" spans="1:2" x14ac:dyDescent="0.35">
      <c r="A20" t="s">
        <v>18</v>
      </c>
      <c r="B20" t="s">
        <v>1075</v>
      </c>
    </row>
  </sheetData>
  <autoFilter ref="A1:B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</cols>
  <sheetData>
    <row r="1" spans="1:1" x14ac:dyDescent="0.35">
      <c r="A1" s="1" t="s">
        <v>1076</v>
      </c>
    </row>
    <row r="2" spans="1:1" x14ac:dyDescent="0.35">
      <c r="A2" t="s">
        <v>1077</v>
      </c>
    </row>
    <row r="3" spans="1:1" x14ac:dyDescent="0.35">
      <c r="A3" t="s">
        <v>1078</v>
      </c>
    </row>
    <row r="4" spans="1:1" x14ac:dyDescent="0.35">
      <c r="A4" t="s">
        <v>1079</v>
      </c>
    </row>
    <row r="5" spans="1:1" x14ac:dyDescent="0.35">
      <c r="A5" t="s">
        <v>1080</v>
      </c>
    </row>
    <row r="6" spans="1:1" x14ac:dyDescent="0.35">
      <c r="A6" t="s">
        <v>1081</v>
      </c>
    </row>
    <row r="7" spans="1:1" x14ac:dyDescent="0.35">
      <c r="A7" t="s">
        <v>1082</v>
      </c>
    </row>
  </sheetData>
  <autoFilter ref="A1:A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EBA2-C7B5-4AF5-8C0E-F116E69751A5}">
  <dimension ref="A1:AD503"/>
  <sheetViews>
    <sheetView topLeftCell="P477" workbookViewId="0">
      <selection sqref="A1:S501"/>
    </sheetView>
  </sheetViews>
  <sheetFormatPr defaultRowHeight="14.5" x14ac:dyDescent="0.35"/>
  <cols>
    <col min="1" max="1" width="14" customWidth="1"/>
    <col min="2" max="2" width="16.90625" customWidth="1"/>
    <col min="3" max="4" width="12" customWidth="1"/>
    <col min="5" max="5" width="15" customWidth="1"/>
    <col min="6" max="6" width="18" customWidth="1"/>
    <col min="7" max="8" width="12" customWidth="1"/>
    <col min="9" max="9" width="18" customWidth="1"/>
    <col min="10" max="10" width="12" customWidth="1"/>
    <col min="11" max="11" width="20" customWidth="1"/>
    <col min="12" max="12" width="18" customWidth="1"/>
    <col min="13" max="13" width="16" customWidth="1"/>
    <col min="14" max="14" width="20" customWidth="1"/>
    <col min="15" max="15" width="17" customWidth="1"/>
    <col min="16" max="16" width="12" customWidth="1"/>
    <col min="17" max="17" width="16.54296875" customWidth="1"/>
    <col min="18" max="19" width="12" customWidth="1"/>
    <col min="20" max="20" width="17.6328125" bestFit="1" customWidth="1"/>
    <col min="21" max="21" width="25.26953125" bestFit="1" customWidth="1"/>
    <col min="22" max="22" width="17.1796875" bestFit="1" customWidth="1"/>
    <col min="23" max="23" width="21.36328125" bestFit="1" customWidth="1"/>
    <col min="24" max="24" width="18.1796875" bestFit="1" customWidth="1"/>
    <col min="25" max="25" width="16.36328125" bestFit="1" customWidth="1"/>
    <col min="26" max="26" width="21.1796875" bestFit="1" customWidth="1"/>
    <col min="27" max="27" width="21.1796875" customWidth="1"/>
    <col min="28" max="28" width="20.54296875" bestFit="1" customWidth="1"/>
    <col min="29" max="29" width="20.7265625" bestFit="1" customWidth="1"/>
    <col min="30" max="30" width="15.7265625" bestFit="1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1083</v>
      </c>
      <c r="U1" s="3" t="s">
        <v>1084</v>
      </c>
      <c r="V1" s="3" t="s">
        <v>1085</v>
      </c>
      <c r="W1" s="3" t="s">
        <v>1086</v>
      </c>
      <c r="X1" s="3" t="s">
        <v>1087</v>
      </c>
      <c r="Y1" s="4" t="s">
        <v>1088</v>
      </c>
      <c r="Z1" s="3" t="s">
        <v>1089</v>
      </c>
      <c r="AA1" s="4" t="s">
        <v>1092</v>
      </c>
      <c r="AB1" s="3" t="s">
        <v>1090</v>
      </c>
      <c r="AC1" s="3" t="s">
        <v>1091</v>
      </c>
      <c r="AD1" s="3" t="s">
        <v>1105</v>
      </c>
    </row>
    <row r="2" spans="1:30" x14ac:dyDescent="0.35">
      <c r="A2" t="s">
        <v>19</v>
      </c>
      <c r="B2" t="s">
        <v>20</v>
      </c>
      <c r="C2" t="s">
        <v>21</v>
      </c>
      <c r="D2">
        <v>26</v>
      </c>
      <c r="E2" t="s">
        <v>22</v>
      </c>
      <c r="F2" t="s">
        <v>23</v>
      </c>
      <c r="G2" t="s">
        <v>24</v>
      </c>
      <c r="H2" t="s">
        <v>25</v>
      </c>
      <c r="I2">
        <v>3</v>
      </c>
      <c r="J2">
        <v>67217</v>
      </c>
      <c r="K2" t="s">
        <v>26</v>
      </c>
      <c r="L2">
        <v>5</v>
      </c>
      <c r="M2">
        <v>55</v>
      </c>
      <c r="N2">
        <v>6</v>
      </c>
      <c r="O2" t="s">
        <v>27</v>
      </c>
      <c r="P2" t="s">
        <v>28</v>
      </c>
      <c r="Q2">
        <v>3</v>
      </c>
      <c r="R2" t="s">
        <v>28</v>
      </c>
      <c r="S2" t="s">
        <v>27</v>
      </c>
      <c r="T2" t="b">
        <f t="shared" ref="T2:T65" si="0">COUNTIF($A$2:$A$503,A2)&gt;1</f>
        <v>0</v>
      </c>
      <c r="U2" t="str">
        <f t="shared" ref="U2:U65" si="1">TRIM(B2)</f>
        <v>Employee_0001</v>
      </c>
      <c r="V2" t="str">
        <f t="shared" ref="V2:V65" si="2">PROPER(TRIM(C2))</f>
        <v>Female</v>
      </c>
      <c r="W2" t="str">
        <f t="shared" ref="W2:W65" si="3">PROPER(TRIM(F2))</f>
        <v>Finance</v>
      </c>
      <c r="X2" t="str">
        <f t="shared" ref="X2:X65" si="4">PROPER(TRIM(H2))</f>
        <v>Hyderabad</v>
      </c>
      <c r="Y2" t="str">
        <f t="shared" ref="Y2:Y65" si="5">IF(J2&lt;=0,"Check","Valid")</f>
        <v>Valid</v>
      </c>
      <c r="Z2" t="str">
        <f t="shared" ref="Z2:Z65" si="6">IF(AND(L2&gt;=1,L2&lt;=10),"Valid","Check")</f>
        <v>Valid</v>
      </c>
      <c r="AA2" t="str">
        <f t="shared" ref="AA2:AA65" si="7">IF(AND(M2&gt;=0,M2&lt;=200),"Valid","Check")</f>
        <v>Valid</v>
      </c>
      <c r="AB2" s="9" t="str">
        <f t="shared" ref="AB2:AB65" si="8">IF(AND(I2&gt;=0,I2&lt;=50),"Valid","Check")</f>
        <v>Valid</v>
      </c>
      <c r="AC2" s="9" t="str">
        <f t="shared" ref="AC2:AC65" si="9">IF(OR(T2=TRUE,Y2="Check",Z2="Check",AA2="Check",AB2="Check"),"Check","Valid")</f>
        <v>Valid</v>
      </c>
      <c r="AD2" s="9" t="str">
        <f>IF(AND(Y2="Valid",Z2="Valid",AA2="Valid",AB2="Valid",COUNTIF($A$2:A2,A2)=1),"Include","Exclude")</f>
        <v>Include</v>
      </c>
    </row>
    <row r="3" spans="1:30" x14ac:dyDescent="0.35">
      <c r="A3" t="s">
        <v>29</v>
      </c>
      <c r="B3" t="s">
        <v>30</v>
      </c>
      <c r="C3" t="s">
        <v>31</v>
      </c>
      <c r="D3">
        <v>36</v>
      </c>
      <c r="E3" t="s">
        <v>32</v>
      </c>
      <c r="F3" t="s">
        <v>33</v>
      </c>
      <c r="G3" t="s">
        <v>24</v>
      </c>
      <c r="H3" t="s">
        <v>34</v>
      </c>
      <c r="I3">
        <v>12</v>
      </c>
      <c r="J3">
        <v>57240</v>
      </c>
      <c r="K3" t="s">
        <v>35</v>
      </c>
      <c r="L3">
        <v>2</v>
      </c>
      <c r="M3">
        <v>23</v>
      </c>
      <c r="N3">
        <v>6</v>
      </c>
      <c r="O3" t="s">
        <v>28</v>
      </c>
      <c r="P3" t="s">
        <v>28</v>
      </c>
      <c r="Q3">
        <v>1</v>
      </c>
      <c r="R3" t="s">
        <v>27</v>
      </c>
      <c r="S3" t="s">
        <v>27</v>
      </c>
      <c r="T3" t="b">
        <f>COUNTIF($A$2:$A$503,A3)&gt;1</f>
        <v>0</v>
      </c>
      <c r="U3" t="str">
        <f>TRIM(B3)</f>
        <v>Employee_0002</v>
      </c>
      <c r="V3" t="str">
        <f t="shared" si="2"/>
        <v>Male</v>
      </c>
      <c r="W3" t="str">
        <f t="shared" si="3"/>
        <v>Sales</v>
      </c>
      <c r="X3" t="str">
        <f t="shared" si="4"/>
        <v>Gurgaon</v>
      </c>
      <c r="Y3" t="str">
        <f t="shared" si="5"/>
        <v>Valid</v>
      </c>
      <c r="Z3" t="str">
        <f t="shared" si="6"/>
        <v>Valid</v>
      </c>
      <c r="AA3" t="str">
        <f t="shared" si="7"/>
        <v>Valid</v>
      </c>
      <c r="AB3" s="9" t="str">
        <f t="shared" si="8"/>
        <v>Valid</v>
      </c>
      <c r="AC3" s="9" t="str">
        <f t="shared" si="9"/>
        <v>Valid</v>
      </c>
      <c r="AD3" s="9" t="str">
        <f>IF(AND(Y3="Valid",Z3="Valid",AA3="Valid",AB3="Valid",COUNTIF($A$2:A3,A3)=1),"Include","Exclude")</f>
        <v>Include</v>
      </c>
    </row>
    <row r="4" spans="1:30" x14ac:dyDescent="0.35">
      <c r="A4" t="s">
        <v>36</v>
      </c>
      <c r="B4" t="s">
        <v>37</v>
      </c>
      <c r="C4" t="s">
        <v>21</v>
      </c>
      <c r="D4">
        <v>53</v>
      </c>
      <c r="E4" t="s">
        <v>38</v>
      </c>
      <c r="F4" t="s">
        <v>39</v>
      </c>
      <c r="G4" t="s">
        <v>24</v>
      </c>
      <c r="H4" t="s">
        <v>34</v>
      </c>
      <c r="I4">
        <v>24</v>
      </c>
      <c r="J4">
        <v>65086</v>
      </c>
      <c r="K4" t="s">
        <v>40</v>
      </c>
      <c r="L4">
        <v>2</v>
      </c>
      <c r="M4">
        <v>29</v>
      </c>
      <c r="N4">
        <v>6</v>
      </c>
      <c r="O4" t="s">
        <v>27</v>
      </c>
      <c r="P4" t="s">
        <v>28</v>
      </c>
      <c r="Q4">
        <v>4</v>
      </c>
      <c r="R4" t="s">
        <v>28</v>
      </c>
      <c r="S4" t="s">
        <v>27</v>
      </c>
      <c r="T4" t="b">
        <f t="shared" si="0"/>
        <v>0</v>
      </c>
      <c r="U4" t="str">
        <f t="shared" si="1"/>
        <v>Employee_0003</v>
      </c>
      <c r="V4" t="str">
        <f t="shared" si="2"/>
        <v>Female</v>
      </c>
      <c r="W4" t="str">
        <f t="shared" si="3"/>
        <v>Operations</v>
      </c>
      <c r="X4" t="str">
        <f t="shared" si="4"/>
        <v>Gurgaon</v>
      </c>
      <c r="Y4" t="str">
        <f t="shared" si="5"/>
        <v>Valid</v>
      </c>
      <c r="Z4" t="str">
        <f t="shared" si="6"/>
        <v>Valid</v>
      </c>
      <c r="AA4" t="str">
        <f t="shared" si="7"/>
        <v>Valid</v>
      </c>
      <c r="AB4" s="9" t="str">
        <f t="shared" si="8"/>
        <v>Valid</v>
      </c>
      <c r="AC4" s="9" t="str">
        <f t="shared" si="9"/>
        <v>Valid</v>
      </c>
      <c r="AD4" s="9" t="str">
        <f>IF(AND(Y4="Valid",Z4="Valid",AA4="Valid",AB4="Valid",COUNTIF($A$2:A4,A4)=1),"Include","Exclude")</f>
        <v>Include</v>
      </c>
    </row>
    <row r="5" spans="1:30" x14ac:dyDescent="0.35">
      <c r="A5" t="s">
        <v>41</v>
      </c>
      <c r="B5" t="s">
        <v>42</v>
      </c>
      <c r="C5" t="s">
        <v>31</v>
      </c>
      <c r="D5">
        <v>48</v>
      </c>
      <c r="E5" t="s">
        <v>38</v>
      </c>
      <c r="F5" t="s">
        <v>43</v>
      </c>
      <c r="G5" t="s">
        <v>44</v>
      </c>
      <c r="H5" t="s">
        <v>25</v>
      </c>
      <c r="I5">
        <v>12</v>
      </c>
      <c r="J5">
        <v>76341</v>
      </c>
      <c r="K5" t="s">
        <v>45</v>
      </c>
      <c r="L5">
        <v>3</v>
      </c>
      <c r="M5">
        <v>4</v>
      </c>
      <c r="N5">
        <v>4</v>
      </c>
      <c r="O5" t="s">
        <v>27</v>
      </c>
      <c r="P5" t="s">
        <v>27</v>
      </c>
      <c r="Q5">
        <v>5</v>
      </c>
      <c r="R5" t="s">
        <v>27</v>
      </c>
      <c r="S5" t="s">
        <v>27</v>
      </c>
      <c r="T5" t="b">
        <f t="shared" si="0"/>
        <v>0</v>
      </c>
      <c r="U5" t="str">
        <f t="shared" si="1"/>
        <v>Employee_0004</v>
      </c>
      <c r="V5" t="str">
        <f t="shared" si="2"/>
        <v>Male</v>
      </c>
      <c r="W5" t="str">
        <f t="shared" si="3"/>
        <v>It</v>
      </c>
      <c r="X5" t="str">
        <f t="shared" si="4"/>
        <v>Hyderabad</v>
      </c>
      <c r="Y5" t="str">
        <f t="shared" si="5"/>
        <v>Valid</v>
      </c>
      <c r="Z5" t="str">
        <f t="shared" si="6"/>
        <v>Valid</v>
      </c>
      <c r="AA5" t="str">
        <f t="shared" si="7"/>
        <v>Valid</v>
      </c>
      <c r="AB5" s="9" t="str">
        <f t="shared" si="8"/>
        <v>Valid</v>
      </c>
      <c r="AC5" s="9" t="str">
        <f t="shared" si="9"/>
        <v>Valid</v>
      </c>
      <c r="AD5" s="9" t="str">
        <f>IF(AND(Y5="Valid",Z5="Valid",AA5="Valid",AB5="Valid",COUNTIF($A$2:A5,A5)=1),"Include","Exclude")</f>
        <v>Include</v>
      </c>
    </row>
    <row r="6" spans="1:30" x14ac:dyDescent="0.35">
      <c r="A6" t="s">
        <v>46</v>
      </c>
      <c r="B6" t="s">
        <v>47</v>
      </c>
      <c r="C6" t="s">
        <v>21</v>
      </c>
      <c r="D6">
        <v>42</v>
      </c>
      <c r="E6" t="s">
        <v>38</v>
      </c>
      <c r="F6" t="s">
        <v>48</v>
      </c>
      <c r="G6" t="s">
        <v>44</v>
      </c>
      <c r="H6" t="s">
        <v>49</v>
      </c>
      <c r="I6">
        <v>14</v>
      </c>
      <c r="J6">
        <v>53557</v>
      </c>
      <c r="K6" t="s">
        <v>45</v>
      </c>
      <c r="L6">
        <v>2</v>
      </c>
      <c r="M6">
        <v>33</v>
      </c>
      <c r="N6">
        <v>6</v>
      </c>
      <c r="O6" t="s">
        <v>27</v>
      </c>
      <c r="P6" t="s">
        <v>27</v>
      </c>
      <c r="Q6">
        <v>4</v>
      </c>
      <c r="R6" t="s">
        <v>27</v>
      </c>
      <c r="S6" t="s">
        <v>28</v>
      </c>
      <c r="T6" t="b">
        <f t="shared" si="0"/>
        <v>0</v>
      </c>
      <c r="U6" t="str">
        <f t="shared" si="1"/>
        <v>Employee_0005</v>
      </c>
      <c r="V6" t="str">
        <f t="shared" si="2"/>
        <v>Female</v>
      </c>
      <c r="W6" t="str">
        <f t="shared" si="3"/>
        <v>Customer Support</v>
      </c>
      <c r="X6" t="str">
        <f t="shared" si="4"/>
        <v>Delhi</v>
      </c>
      <c r="Y6" t="str">
        <f t="shared" si="5"/>
        <v>Valid</v>
      </c>
      <c r="Z6" t="str">
        <f t="shared" si="6"/>
        <v>Valid</v>
      </c>
      <c r="AA6" t="str">
        <f t="shared" si="7"/>
        <v>Valid</v>
      </c>
      <c r="AB6" s="9" t="str">
        <f t="shared" si="8"/>
        <v>Valid</v>
      </c>
      <c r="AC6" s="9" t="str">
        <f t="shared" si="9"/>
        <v>Valid</v>
      </c>
      <c r="AD6" s="9" t="str">
        <f>IF(AND(Y6="Valid",Z6="Valid",AA6="Valid",AB6="Valid",COUNTIF($A$2:A6,A6)=1),"Include","Exclude")</f>
        <v>Include</v>
      </c>
    </row>
    <row r="7" spans="1:30" x14ac:dyDescent="0.35">
      <c r="A7" t="s">
        <v>50</v>
      </c>
      <c r="B7" t="s">
        <v>51</v>
      </c>
      <c r="C7" t="s">
        <v>21</v>
      </c>
      <c r="D7">
        <v>40</v>
      </c>
      <c r="E7" t="s">
        <v>38</v>
      </c>
      <c r="F7" t="s">
        <v>43</v>
      </c>
      <c r="G7" t="s">
        <v>24</v>
      </c>
      <c r="H7" t="s">
        <v>52</v>
      </c>
      <c r="I7">
        <v>7</v>
      </c>
      <c r="J7">
        <v>70648</v>
      </c>
      <c r="K7" t="s">
        <v>26</v>
      </c>
      <c r="L7">
        <v>4</v>
      </c>
      <c r="M7">
        <v>24</v>
      </c>
      <c r="N7">
        <v>4</v>
      </c>
      <c r="O7" t="s">
        <v>28</v>
      </c>
      <c r="P7" t="s">
        <v>28</v>
      </c>
      <c r="Q7">
        <v>4</v>
      </c>
      <c r="R7" t="s">
        <v>27</v>
      </c>
      <c r="S7" t="s">
        <v>27</v>
      </c>
      <c r="T7" t="b">
        <f t="shared" si="0"/>
        <v>0</v>
      </c>
      <c r="U7" t="str">
        <f t="shared" si="1"/>
        <v>Employee_0006</v>
      </c>
      <c r="V7" t="str">
        <f t="shared" si="2"/>
        <v>Female</v>
      </c>
      <c r="W7" t="str">
        <f t="shared" si="3"/>
        <v>It</v>
      </c>
      <c r="X7" t="str">
        <f t="shared" si="4"/>
        <v>Mumbai</v>
      </c>
      <c r="Y7" t="str">
        <f t="shared" si="5"/>
        <v>Valid</v>
      </c>
      <c r="Z7" t="str">
        <f t="shared" si="6"/>
        <v>Valid</v>
      </c>
      <c r="AA7" t="str">
        <f t="shared" si="7"/>
        <v>Valid</v>
      </c>
      <c r="AB7" s="9" t="str">
        <f t="shared" si="8"/>
        <v>Valid</v>
      </c>
      <c r="AC7" s="9" t="str">
        <f t="shared" si="9"/>
        <v>Valid</v>
      </c>
      <c r="AD7" s="9" t="str">
        <f>IF(AND(Y7="Valid",Z7="Valid",AA7="Valid",AB7="Valid",COUNTIF($A$2:A7,A7)=1),"Include","Exclude")</f>
        <v>Include</v>
      </c>
    </row>
    <row r="8" spans="1:30" x14ac:dyDescent="0.35">
      <c r="A8" t="s">
        <v>53</v>
      </c>
      <c r="B8" t="s">
        <v>54</v>
      </c>
      <c r="C8" t="s">
        <v>21</v>
      </c>
      <c r="D8">
        <v>55</v>
      </c>
      <c r="E8" t="s">
        <v>55</v>
      </c>
      <c r="F8" t="s">
        <v>23</v>
      </c>
      <c r="G8" t="s">
        <v>24</v>
      </c>
      <c r="H8" t="s">
        <v>52</v>
      </c>
      <c r="I8">
        <v>20</v>
      </c>
      <c r="J8">
        <v>82000</v>
      </c>
      <c r="K8" t="s">
        <v>26</v>
      </c>
      <c r="L8">
        <v>4</v>
      </c>
      <c r="M8">
        <v>33</v>
      </c>
      <c r="N8">
        <v>3</v>
      </c>
      <c r="O8" t="s">
        <v>27</v>
      </c>
      <c r="P8" t="s">
        <v>27</v>
      </c>
      <c r="Q8">
        <v>5</v>
      </c>
      <c r="R8" t="s">
        <v>28</v>
      </c>
      <c r="S8" t="s">
        <v>27</v>
      </c>
      <c r="T8" t="b">
        <f t="shared" si="0"/>
        <v>0</v>
      </c>
      <c r="U8" t="str">
        <f t="shared" si="1"/>
        <v>Employee_0007</v>
      </c>
      <c r="V8" t="str">
        <f t="shared" si="2"/>
        <v>Female</v>
      </c>
      <c r="W8" t="str">
        <f t="shared" si="3"/>
        <v>Finance</v>
      </c>
      <c r="X8" t="str">
        <f t="shared" si="4"/>
        <v>Mumbai</v>
      </c>
      <c r="Y8" t="str">
        <f t="shared" si="5"/>
        <v>Valid</v>
      </c>
      <c r="Z8" t="str">
        <f t="shared" si="6"/>
        <v>Valid</v>
      </c>
      <c r="AA8" t="str">
        <f t="shared" si="7"/>
        <v>Valid</v>
      </c>
      <c r="AB8" s="9" t="str">
        <f t="shared" si="8"/>
        <v>Valid</v>
      </c>
      <c r="AC8" s="9" t="str">
        <f t="shared" si="9"/>
        <v>Valid</v>
      </c>
      <c r="AD8" s="9" t="str">
        <f>IF(AND(Y8="Valid",Z8="Valid",AA8="Valid",AB8="Valid",COUNTIF($A$2:A8,A8)=1),"Include","Exclude")</f>
        <v>Include</v>
      </c>
    </row>
    <row r="9" spans="1:30" x14ac:dyDescent="0.35">
      <c r="A9" t="s">
        <v>56</v>
      </c>
      <c r="B9" t="s">
        <v>57</v>
      </c>
      <c r="C9" t="s">
        <v>31</v>
      </c>
      <c r="D9">
        <v>49</v>
      </c>
      <c r="E9" t="s">
        <v>55</v>
      </c>
      <c r="F9" t="s">
        <v>43</v>
      </c>
      <c r="G9" t="s">
        <v>24</v>
      </c>
      <c r="H9" t="s">
        <v>34</v>
      </c>
      <c r="I9">
        <v>11</v>
      </c>
      <c r="J9">
        <v>81888</v>
      </c>
      <c r="K9" t="s">
        <v>26</v>
      </c>
      <c r="L9">
        <v>4</v>
      </c>
      <c r="M9">
        <v>25</v>
      </c>
      <c r="N9">
        <v>6</v>
      </c>
      <c r="O9" t="s">
        <v>28</v>
      </c>
      <c r="P9" t="s">
        <v>27</v>
      </c>
      <c r="Q9">
        <v>5</v>
      </c>
      <c r="R9" t="s">
        <v>28</v>
      </c>
      <c r="S9" t="s">
        <v>27</v>
      </c>
      <c r="T9" t="b">
        <f t="shared" si="0"/>
        <v>0</v>
      </c>
      <c r="U9" t="str">
        <f t="shared" si="1"/>
        <v>Employee_0008</v>
      </c>
      <c r="V9" t="str">
        <f t="shared" si="2"/>
        <v>Male</v>
      </c>
      <c r="W9" t="str">
        <f t="shared" si="3"/>
        <v>It</v>
      </c>
      <c r="X9" t="str">
        <f t="shared" si="4"/>
        <v>Gurgaon</v>
      </c>
      <c r="Y9" t="str">
        <f t="shared" si="5"/>
        <v>Valid</v>
      </c>
      <c r="Z9" t="str">
        <f t="shared" si="6"/>
        <v>Valid</v>
      </c>
      <c r="AA9" t="str">
        <f t="shared" si="7"/>
        <v>Valid</v>
      </c>
      <c r="AB9" s="9" t="str">
        <f t="shared" si="8"/>
        <v>Valid</v>
      </c>
      <c r="AC9" s="9" t="str">
        <f t="shared" si="9"/>
        <v>Valid</v>
      </c>
      <c r="AD9" s="9" t="str">
        <f>IF(AND(Y9="Valid",Z9="Valid",AA9="Valid",AB9="Valid",COUNTIF($A$2:A9,A9)=1),"Include","Exclude")</f>
        <v>Include</v>
      </c>
    </row>
    <row r="10" spans="1:30" x14ac:dyDescent="0.35">
      <c r="A10" t="s">
        <v>58</v>
      </c>
      <c r="B10" t="s">
        <v>59</v>
      </c>
      <c r="C10" t="s">
        <v>21</v>
      </c>
      <c r="D10">
        <v>48</v>
      </c>
      <c r="E10" t="s">
        <v>38</v>
      </c>
      <c r="F10" t="s">
        <v>60</v>
      </c>
      <c r="G10" t="s">
        <v>44</v>
      </c>
      <c r="H10" t="s">
        <v>61</v>
      </c>
      <c r="I10">
        <v>19</v>
      </c>
      <c r="J10">
        <v>64723</v>
      </c>
      <c r="K10" t="s">
        <v>26</v>
      </c>
      <c r="L10">
        <v>4</v>
      </c>
      <c r="M10">
        <v>15</v>
      </c>
      <c r="N10">
        <v>5</v>
      </c>
      <c r="O10" t="s">
        <v>27</v>
      </c>
      <c r="P10" t="s">
        <v>28</v>
      </c>
      <c r="Q10">
        <v>2</v>
      </c>
      <c r="R10" t="s">
        <v>27</v>
      </c>
      <c r="S10" t="s">
        <v>27</v>
      </c>
      <c r="T10" t="b">
        <f t="shared" si="0"/>
        <v>0</v>
      </c>
      <c r="U10" t="str">
        <f t="shared" si="1"/>
        <v>Employee_0009</v>
      </c>
      <c r="V10" t="str">
        <f t="shared" si="2"/>
        <v>Female</v>
      </c>
      <c r="W10" t="str">
        <f t="shared" si="3"/>
        <v>Hr</v>
      </c>
      <c r="X10" t="str">
        <f t="shared" si="4"/>
        <v>Noida</v>
      </c>
      <c r="Y10" t="str">
        <f t="shared" si="5"/>
        <v>Valid</v>
      </c>
      <c r="Z10" t="str">
        <f t="shared" si="6"/>
        <v>Valid</v>
      </c>
      <c r="AA10" t="str">
        <f t="shared" si="7"/>
        <v>Valid</v>
      </c>
      <c r="AB10" s="9" t="str">
        <f t="shared" si="8"/>
        <v>Valid</v>
      </c>
      <c r="AC10" s="9" t="str">
        <f t="shared" si="9"/>
        <v>Valid</v>
      </c>
      <c r="AD10" s="9" t="str">
        <f>IF(AND(Y10="Valid",Z10="Valid",AA10="Valid",AB10="Valid",COUNTIF($A$2:A10,A10)=1),"Include","Exclude")</f>
        <v>Include</v>
      </c>
    </row>
    <row r="11" spans="1:30" x14ac:dyDescent="0.35">
      <c r="A11" t="s">
        <v>62</v>
      </c>
      <c r="B11" t="s">
        <v>63</v>
      </c>
      <c r="C11" t="s">
        <v>21</v>
      </c>
      <c r="D11">
        <v>35</v>
      </c>
      <c r="E11" t="s">
        <v>55</v>
      </c>
      <c r="F11" t="s">
        <v>64</v>
      </c>
      <c r="G11" t="s">
        <v>24</v>
      </c>
      <c r="H11" t="s">
        <v>61</v>
      </c>
      <c r="I11">
        <v>5</v>
      </c>
      <c r="J11">
        <v>52115</v>
      </c>
      <c r="K11" t="s">
        <v>45</v>
      </c>
      <c r="L11">
        <v>8</v>
      </c>
      <c r="M11">
        <v>26</v>
      </c>
      <c r="N11">
        <v>8</v>
      </c>
      <c r="O11" t="s">
        <v>28</v>
      </c>
      <c r="P11" t="s">
        <v>27</v>
      </c>
      <c r="Q11">
        <v>4</v>
      </c>
      <c r="R11" t="s">
        <v>27</v>
      </c>
      <c r="S11" t="s">
        <v>27</v>
      </c>
      <c r="T11" t="b">
        <f t="shared" si="0"/>
        <v>0</v>
      </c>
      <c r="U11" t="str">
        <f t="shared" si="1"/>
        <v>Employee_0010</v>
      </c>
      <c r="V11" t="str">
        <f t="shared" si="2"/>
        <v>Female</v>
      </c>
      <c r="W11" t="str">
        <f t="shared" si="3"/>
        <v>Marketing</v>
      </c>
      <c r="X11" t="str">
        <f t="shared" si="4"/>
        <v>Noida</v>
      </c>
      <c r="Y11" t="str">
        <f t="shared" si="5"/>
        <v>Valid</v>
      </c>
      <c r="Z11" t="str">
        <f t="shared" si="6"/>
        <v>Valid</v>
      </c>
      <c r="AA11" t="str">
        <f t="shared" si="7"/>
        <v>Valid</v>
      </c>
      <c r="AB11" s="9" t="str">
        <f t="shared" si="8"/>
        <v>Valid</v>
      </c>
      <c r="AC11" s="9" t="str">
        <f t="shared" si="9"/>
        <v>Valid</v>
      </c>
      <c r="AD11" s="9" t="str">
        <f>IF(AND(Y11="Valid",Z11="Valid",AA11="Valid",AB11="Valid",COUNTIF($A$2:A11,A11)=1),"Include","Exclude")</f>
        <v>Include</v>
      </c>
    </row>
    <row r="12" spans="1:30" hidden="1" x14ac:dyDescent="0.35">
      <c r="A12" t="s">
        <v>65</v>
      </c>
      <c r="B12" t="s">
        <v>66</v>
      </c>
      <c r="C12" t="s">
        <v>21</v>
      </c>
      <c r="D12">
        <v>43</v>
      </c>
      <c r="E12" t="s">
        <v>22</v>
      </c>
      <c r="F12" t="s">
        <v>48</v>
      </c>
      <c r="G12" t="s">
        <v>44</v>
      </c>
      <c r="H12" t="s">
        <v>49</v>
      </c>
      <c r="I12">
        <v>18</v>
      </c>
      <c r="J12">
        <v>-5000</v>
      </c>
      <c r="K12" t="s">
        <v>35</v>
      </c>
      <c r="L12">
        <v>3</v>
      </c>
      <c r="M12">
        <v>24</v>
      </c>
      <c r="N12">
        <v>1</v>
      </c>
      <c r="O12" t="s">
        <v>27</v>
      </c>
      <c r="P12" t="s">
        <v>28</v>
      </c>
      <c r="Q12">
        <v>1</v>
      </c>
      <c r="R12" t="s">
        <v>28</v>
      </c>
      <c r="S12" t="s">
        <v>27</v>
      </c>
      <c r="T12" t="b">
        <f t="shared" si="0"/>
        <v>0</v>
      </c>
      <c r="U12" t="str">
        <f t="shared" si="1"/>
        <v>Employee_0011</v>
      </c>
      <c r="V12" t="str">
        <f t="shared" si="2"/>
        <v>Female</v>
      </c>
      <c r="W12" t="str">
        <f t="shared" si="3"/>
        <v>Customer Support</v>
      </c>
      <c r="X12" t="str">
        <f t="shared" si="4"/>
        <v>Delhi</v>
      </c>
      <c r="Y12" t="str">
        <f t="shared" si="5"/>
        <v>Check</v>
      </c>
      <c r="Z12" t="str">
        <f t="shared" si="6"/>
        <v>Valid</v>
      </c>
      <c r="AA12" t="str">
        <f t="shared" si="7"/>
        <v>Valid</v>
      </c>
      <c r="AB12" s="9" t="str">
        <f t="shared" si="8"/>
        <v>Valid</v>
      </c>
      <c r="AC12" s="9" t="str">
        <f t="shared" si="9"/>
        <v>Check</v>
      </c>
      <c r="AD12" s="9" t="str">
        <f>IF(AND(Y12="Valid",Z12="Valid",AA12="Valid",AB12="Valid",COUNTIF($A$2:A12,A12)=1),"Include","Exclude")</f>
        <v>Exclude</v>
      </c>
    </row>
    <row r="13" spans="1:30" x14ac:dyDescent="0.35">
      <c r="A13" t="s">
        <v>67</v>
      </c>
      <c r="B13" t="s">
        <v>68</v>
      </c>
      <c r="C13" t="s">
        <v>21</v>
      </c>
      <c r="D13">
        <v>35</v>
      </c>
      <c r="E13" t="s">
        <v>55</v>
      </c>
      <c r="F13" t="s">
        <v>23</v>
      </c>
      <c r="G13" t="s">
        <v>69</v>
      </c>
      <c r="H13" t="s">
        <v>70</v>
      </c>
      <c r="I13">
        <v>7</v>
      </c>
      <c r="J13">
        <v>65556</v>
      </c>
      <c r="K13" t="s">
        <v>45</v>
      </c>
      <c r="L13">
        <v>8</v>
      </c>
      <c r="M13">
        <v>11</v>
      </c>
      <c r="N13">
        <v>4</v>
      </c>
      <c r="O13" t="s">
        <v>27</v>
      </c>
      <c r="P13" t="s">
        <v>28</v>
      </c>
      <c r="Q13">
        <v>2</v>
      </c>
      <c r="R13" t="s">
        <v>27</v>
      </c>
      <c r="S13" t="s">
        <v>27</v>
      </c>
      <c r="T13" t="b">
        <f t="shared" si="0"/>
        <v>0</v>
      </c>
      <c r="U13" t="str">
        <f t="shared" si="1"/>
        <v>Employee_0012</v>
      </c>
      <c r="V13" t="str">
        <f t="shared" si="2"/>
        <v>Female</v>
      </c>
      <c r="W13" t="str">
        <f t="shared" si="3"/>
        <v>Finance</v>
      </c>
      <c r="X13" t="str">
        <f t="shared" si="4"/>
        <v>Bangalore</v>
      </c>
      <c r="Y13" t="str">
        <f t="shared" si="5"/>
        <v>Valid</v>
      </c>
      <c r="Z13" t="str">
        <f t="shared" si="6"/>
        <v>Valid</v>
      </c>
      <c r="AA13" t="str">
        <f t="shared" si="7"/>
        <v>Valid</v>
      </c>
      <c r="AB13" s="9" t="str">
        <f t="shared" si="8"/>
        <v>Valid</v>
      </c>
      <c r="AC13" s="9" t="str">
        <f t="shared" si="9"/>
        <v>Valid</v>
      </c>
      <c r="AD13" s="9" t="str">
        <f>IF(AND(Y13="Valid",Z13="Valid",AA13="Valid",AB13="Valid",COUNTIF($A$2:A13,A13)=1),"Include","Exclude")</f>
        <v>Include</v>
      </c>
    </row>
    <row r="14" spans="1:30" x14ac:dyDescent="0.35">
      <c r="A14" t="s">
        <v>71</v>
      </c>
      <c r="B14" t="s">
        <v>72</v>
      </c>
      <c r="C14" t="s">
        <v>31</v>
      </c>
      <c r="D14">
        <v>26</v>
      </c>
      <c r="E14" t="s">
        <v>55</v>
      </c>
      <c r="F14" t="s">
        <v>60</v>
      </c>
      <c r="G14" t="s">
        <v>24</v>
      </c>
      <c r="H14" t="s">
        <v>49</v>
      </c>
      <c r="I14">
        <v>2</v>
      </c>
      <c r="J14">
        <v>62067</v>
      </c>
      <c r="K14" t="s">
        <v>40</v>
      </c>
      <c r="L14">
        <v>1</v>
      </c>
      <c r="M14">
        <v>41</v>
      </c>
      <c r="N14">
        <v>0</v>
      </c>
      <c r="O14" t="s">
        <v>28</v>
      </c>
      <c r="P14" t="s">
        <v>28</v>
      </c>
      <c r="Q14">
        <v>2</v>
      </c>
      <c r="R14" t="s">
        <v>27</v>
      </c>
      <c r="S14" t="s">
        <v>27</v>
      </c>
      <c r="T14" t="b">
        <f t="shared" si="0"/>
        <v>0</v>
      </c>
      <c r="U14" t="str">
        <f t="shared" si="1"/>
        <v>Employee_0013</v>
      </c>
      <c r="V14" t="str">
        <f t="shared" si="2"/>
        <v>Male</v>
      </c>
      <c r="W14" t="str">
        <f t="shared" si="3"/>
        <v>Hr</v>
      </c>
      <c r="X14" t="str">
        <f t="shared" si="4"/>
        <v>Delhi</v>
      </c>
      <c r="Y14" t="str">
        <f t="shared" si="5"/>
        <v>Valid</v>
      </c>
      <c r="Z14" t="str">
        <f t="shared" si="6"/>
        <v>Valid</v>
      </c>
      <c r="AA14" t="str">
        <f t="shared" si="7"/>
        <v>Valid</v>
      </c>
      <c r="AB14" s="9" t="str">
        <f t="shared" si="8"/>
        <v>Valid</v>
      </c>
      <c r="AC14" s="9" t="str">
        <f t="shared" si="9"/>
        <v>Valid</v>
      </c>
      <c r="AD14" s="9" t="str">
        <f>IF(AND(Y14="Valid",Z14="Valid",AA14="Valid",AB14="Valid",COUNTIF($A$2:A14,A14)=1),"Include","Exclude")</f>
        <v>Include</v>
      </c>
    </row>
    <row r="15" spans="1:30" x14ac:dyDescent="0.35">
      <c r="A15" t="s">
        <v>73</v>
      </c>
      <c r="B15" t="s">
        <v>74</v>
      </c>
      <c r="C15" t="s">
        <v>31</v>
      </c>
      <c r="D15">
        <v>53</v>
      </c>
      <c r="E15" t="s">
        <v>38</v>
      </c>
      <c r="F15" t="s">
        <v>33</v>
      </c>
      <c r="G15" t="s">
        <v>24</v>
      </c>
      <c r="H15" t="s">
        <v>70</v>
      </c>
      <c r="I15">
        <v>14</v>
      </c>
      <c r="J15">
        <v>75991</v>
      </c>
      <c r="K15" t="s">
        <v>45</v>
      </c>
      <c r="L15">
        <v>4</v>
      </c>
      <c r="M15">
        <v>27</v>
      </c>
      <c r="N15">
        <v>4</v>
      </c>
      <c r="O15" t="s">
        <v>27</v>
      </c>
      <c r="P15" t="s">
        <v>27</v>
      </c>
      <c r="Q15">
        <v>1</v>
      </c>
      <c r="R15" t="s">
        <v>28</v>
      </c>
      <c r="S15" t="s">
        <v>27</v>
      </c>
      <c r="T15" t="b">
        <f t="shared" si="0"/>
        <v>0</v>
      </c>
      <c r="U15" t="str">
        <f t="shared" si="1"/>
        <v>Employee_0014</v>
      </c>
      <c r="V15" t="str">
        <f t="shared" si="2"/>
        <v>Male</v>
      </c>
      <c r="W15" t="str">
        <f t="shared" si="3"/>
        <v>Sales</v>
      </c>
      <c r="X15" t="str">
        <f t="shared" si="4"/>
        <v>Bangalore</v>
      </c>
      <c r="Y15" t="str">
        <f t="shared" si="5"/>
        <v>Valid</v>
      </c>
      <c r="Z15" t="str">
        <f t="shared" si="6"/>
        <v>Valid</v>
      </c>
      <c r="AA15" t="str">
        <f t="shared" si="7"/>
        <v>Valid</v>
      </c>
      <c r="AB15" s="9" t="str">
        <f t="shared" si="8"/>
        <v>Valid</v>
      </c>
      <c r="AC15" s="9" t="str">
        <f t="shared" si="9"/>
        <v>Valid</v>
      </c>
      <c r="AD15" s="9" t="str">
        <f>IF(AND(Y15="Valid",Z15="Valid",AA15="Valid",AB15="Valid",COUNTIF($A$2:A15,A15)=1),"Include","Exclude")</f>
        <v>Include</v>
      </c>
    </row>
    <row r="16" spans="1:30" x14ac:dyDescent="0.35">
      <c r="A16" t="s">
        <v>75</v>
      </c>
      <c r="B16" t="s">
        <v>76</v>
      </c>
      <c r="C16" t="s">
        <v>21</v>
      </c>
      <c r="D16">
        <v>26</v>
      </c>
      <c r="E16" t="s">
        <v>32</v>
      </c>
      <c r="F16" t="s">
        <v>23</v>
      </c>
      <c r="G16" t="s">
        <v>44</v>
      </c>
      <c r="H16" t="s">
        <v>25</v>
      </c>
      <c r="I16">
        <v>4</v>
      </c>
      <c r="J16">
        <v>68492</v>
      </c>
      <c r="K16" t="s">
        <v>40</v>
      </c>
      <c r="L16">
        <v>6</v>
      </c>
      <c r="M16">
        <v>36</v>
      </c>
      <c r="N16">
        <v>4</v>
      </c>
      <c r="O16" t="s">
        <v>27</v>
      </c>
      <c r="P16" t="s">
        <v>27</v>
      </c>
      <c r="Q16">
        <v>5</v>
      </c>
      <c r="R16" t="s">
        <v>27</v>
      </c>
      <c r="S16" t="s">
        <v>27</v>
      </c>
      <c r="T16" t="b">
        <f t="shared" si="0"/>
        <v>0</v>
      </c>
      <c r="U16" t="str">
        <f t="shared" si="1"/>
        <v>Employee_0015</v>
      </c>
      <c r="V16" t="str">
        <f t="shared" si="2"/>
        <v>Female</v>
      </c>
      <c r="W16" t="str">
        <f t="shared" si="3"/>
        <v>Finance</v>
      </c>
      <c r="X16" t="str">
        <f t="shared" si="4"/>
        <v>Hyderabad</v>
      </c>
      <c r="Y16" t="str">
        <f t="shared" si="5"/>
        <v>Valid</v>
      </c>
      <c r="Z16" t="str">
        <f t="shared" si="6"/>
        <v>Valid</v>
      </c>
      <c r="AA16" t="str">
        <f t="shared" si="7"/>
        <v>Valid</v>
      </c>
      <c r="AB16" s="9" t="str">
        <f t="shared" si="8"/>
        <v>Valid</v>
      </c>
      <c r="AC16" s="9" t="str">
        <f t="shared" si="9"/>
        <v>Valid</v>
      </c>
      <c r="AD16" s="9" t="str">
        <f>IF(AND(Y16="Valid",Z16="Valid",AA16="Valid",AB16="Valid",COUNTIF($A$2:A16,A16)=1),"Include","Exclude")</f>
        <v>Include</v>
      </c>
    </row>
    <row r="17" spans="1:30" x14ac:dyDescent="0.35">
      <c r="A17" t="s">
        <v>77</v>
      </c>
      <c r="B17" t="s">
        <v>78</v>
      </c>
      <c r="C17" t="s">
        <v>31</v>
      </c>
      <c r="D17">
        <v>44</v>
      </c>
      <c r="E17" t="s">
        <v>38</v>
      </c>
      <c r="F17" t="s">
        <v>43</v>
      </c>
      <c r="G17" t="s">
        <v>24</v>
      </c>
      <c r="H17" t="s">
        <v>34</v>
      </c>
      <c r="I17">
        <v>13</v>
      </c>
      <c r="J17">
        <v>82000</v>
      </c>
      <c r="K17" t="s">
        <v>26</v>
      </c>
      <c r="L17">
        <v>1</v>
      </c>
      <c r="M17">
        <v>14</v>
      </c>
      <c r="N17">
        <v>3</v>
      </c>
      <c r="O17" t="s">
        <v>27</v>
      </c>
      <c r="P17" t="s">
        <v>27</v>
      </c>
      <c r="Q17">
        <v>4</v>
      </c>
      <c r="R17" t="s">
        <v>27</v>
      </c>
      <c r="S17" t="s">
        <v>27</v>
      </c>
      <c r="T17" t="b">
        <f t="shared" si="0"/>
        <v>0</v>
      </c>
      <c r="U17" t="str">
        <f t="shared" si="1"/>
        <v>Employee_0016</v>
      </c>
      <c r="V17" t="str">
        <f t="shared" si="2"/>
        <v>Male</v>
      </c>
      <c r="W17" t="str">
        <f t="shared" si="3"/>
        <v>It</v>
      </c>
      <c r="X17" t="str">
        <f t="shared" si="4"/>
        <v>Gurgaon</v>
      </c>
      <c r="Y17" t="str">
        <f t="shared" si="5"/>
        <v>Valid</v>
      </c>
      <c r="Z17" t="str">
        <f t="shared" si="6"/>
        <v>Valid</v>
      </c>
      <c r="AA17" t="str">
        <f t="shared" si="7"/>
        <v>Valid</v>
      </c>
      <c r="AB17" s="9" t="str">
        <f t="shared" si="8"/>
        <v>Valid</v>
      </c>
      <c r="AC17" s="9" t="str">
        <f t="shared" si="9"/>
        <v>Valid</v>
      </c>
      <c r="AD17" s="9" t="str">
        <f>IF(AND(Y17="Valid",Z17="Valid",AA17="Valid",AB17="Valid",COUNTIF($A$2:A17,A17)=1),"Include","Exclude")</f>
        <v>Include</v>
      </c>
    </row>
    <row r="18" spans="1:30" x14ac:dyDescent="0.35">
      <c r="A18" t="s">
        <v>79</v>
      </c>
      <c r="B18" t="s">
        <v>80</v>
      </c>
      <c r="C18" t="s">
        <v>21</v>
      </c>
      <c r="D18">
        <v>29</v>
      </c>
      <c r="E18" t="s">
        <v>55</v>
      </c>
      <c r="F18" t="s">
        <v>33</v>
      </c>
      <c r="G18" t="s">
        <v>24</v>
      </c>
      <c r="H18" t="s">
        <v>34</v>
      </c>
      <c r="I18">
        <v>4</v>
      </c>
      <c r="J18">
        <v>58545</v>
      </c>
      <c r="K18" t="s">
        <v>45</v>
      </c>
      <c r="L18">
        <v>1</v>
      </c>
      <c r="M18">
        <v>19</v>
      </c>
      <c r="N18">
        <v>5</v>
      </c>
      <c r="O18" t="s">
        <v>27</v>
      </c>
      <c r="P18" t="s">
        <v>28</v>
      </c>
      <c r="Q18">
        <v>2</v>
      </c>
      <c r="R18" t="s">
        <v>28</v>
      </c>
      <c r="S18" t="s">
        <v>28</v>
      </c>
      <c r="T18" t="b">
        <f t="shared" si="0"/>
        <v>0</v>
      </c>
      <c r="U18" t="str">
        <f t="shared" si="1"/>
        <v>Employee_0017</v>
      </c>
      <c r="V18" t="str">
        <f t="shared" si="2"/>
        <v>Female</v>
      </c>
      <c r="W18" t="str">
        <f t="shared" si="3"/>
        <v>Sales</v>
      </c>
      <c r="X18" t="str">
        <f t="shared" si="4"/>
        <v>Gurgaon</v>
      </c>
      <c r="Y18" t="str">
        <f t="shared" si="5"/>
        <v>Valid</v>
      </c>
      <c r="Z18" t="str">
        <f t="shared" si="6"/>
        <v>Valid</v>
      </c>
      <c r="AA18" t="str">
        <f t="shared" si="7"/>
        <v>Valid</v>
      </c>
      <c r="AB18" s="9" t="str">
        <f t="shared" si="8"/>
        <v>Valid</v>
      </c>
      <c r="AC18" s="9" t="str">
        <f t="shared" si="9"/>
        <v>Valid</v>
      </c>
      <c r="AD18" s="9" t="str">
        <f>IF(AND(Y18="Valid",Z18="Valid",AA18="Valid",AB18="Valid",COUNTIF($A$2:A18,A18)=1),"Include","Exclude")</f>
        <v>Include</v>
      </c>
    </row>
    <row r="19" spans="1:30" x14ac:dyDescent="0.35">
      <c r="A19" t="s">
        <v>81</v>
      </c>
      <c r="B19" t="s">
        <v>82</v>
      </c>
      <c r="C19" t="s">
        <v>31</v>
      </c>
      <c r="D19">
        <v>34</v>
      </c>
      <c r="E19" t="s">
        <v>55</v>
      </c>
      <c r="F19" t="s">
        <v>33</v>
      </c>
      <c r="G19" t="s">
        <v>24</v>
      </c>
      <c r="H19" t="s">
        <v>49</v>
      </c>
      <c r="I19">
        <v>6</v>
      </c>
      <c r="J19">
        <v>59412</v>
      </c>
      <c r="K19" t="s">
        <v>45</v>
      </c>
      <c r="L19">
        <v>8</v>
      </c>
      <c r="M19">
        <v>14</v>
      </c>
      <c r="N19">
        <v>3</v>
      </c>
      <c r="O19" t="s">
        <v>28</v>
      </c>
      <c r="P19" t="s">
        <v>28</v>
      </c>
      <c r="Q19">
        <v>2</v>
      </c>
      <c r="R19" t="s">
        <v>27</v>
      </c>
      <c r="S19" t="s">
        <v>27</v>
      </c>
      <c r="T19" t="b">
        <f t="shared" si="0"/>
        <v>0</v>
      </c>
      <c r="U19" t="str">
        <f t="shared" si="1"/>
        <v>Employee_0018</v>
      </c>
      <c r="V19" t="str">
        <f t="shared" si="2"/>
        <v>Male</v>
      </c>
      <c r="W19" t="str">
        <f t="shared" si="3"/>
        <v>Sales</v>
      </c>
      <c r="X19" t="str">
        <f t="shared" si="4"/>
        <v>Delhi</v>
      </c>
      <c r="Y19" t="str">
        <f t="shared" si="5"/>
        <v>Valid</v>
      </c>
      <c r="Z19" t="str">
        <f t="shared" si="6"/>
        <v>Valid</v>
      </c>
      <c r="AA19" t="str">
        <f t="shared" si="7"/>
        <v>Valid</v>
      </c>
      <c r="AB19" s="9" t="str">
        <f t="shared" si="8"/>
        <v>Valid</v>
      </c>
      <c r="AC19" s="9" t="str">
        <f t="shared" si="9"/>
        <v>Valid</v>
      </c>
      <c r="AD19" s="9" t="str">
        <f>IF(AND(Y19="Valid",Z19="Valid",AA19="Valid",AB19="Valid",COUNTIF($A$2:A19,A19)=1),"Include","Exclude")</f>
        <v>Include</v>
      </c>
    </row>
    <row r="20" spans="1:30" x14ac:dyDescent="0.35">
      <c r="A20" t="s">
        <v>83</v>
      </c>
      <c r="B20" t="s">
        <v>84</v>
      </c>
      <c r="C20" t="s">
        <v>21</v>
      </c>
      <c r="D20">
        <v>35</v>
      </c>
      <c r="E20" t="s">
        <v>55</v>
      </c>
      <c r="F20" t="s">
        <v>43</v>
      </c>
      <c r="G20" t="s">
        <v>24</v>
      </c>
      <c r="H20" t="s">
        <v>49</v>
      </c>
      <c r="I20">
        <v>6</v>
      </c>
      <c r="J20">
        <v>62147</v>
      </c>
      <c r="K20" t="s">
        <v>26</v>
      </c>
      <c r="L20">
        <v>3</v>
      </c>
      <c r="M20">
        <v>50</v>
      </c>
      <c r="N20">
        <v>5</v>
      </c>
      <c r="O20" t="s">
        <v>27</v>
      </c>
      <c r="P20" t="s">
        <v>28</v>
      </c>
      <c r="Q20">
        <v>2</v>
      </c>
      <c r="R20" t="s">
        <v>27</v>
      </c>
      <c r="S20" t="s">
        <v>27</v>
      </c>
      <c r="T20" t="b">
        <f t="shared" si="0"/>
        <v>0</v>
      </c>
      <c r="U20" t="str">
        <f t="shared" si="1"/>
        <v>Employee_0019</v>
      </c>
      <c r="V20" t="str">
        <f t="shared" si="2"/>
        <v>Female</v>
      </c>
      <c r="W20" t="str">
        <f t="shared" si="3"/>
        <v>It</v>
      </c>
      <c r="X20" t="str">
        <f t="shared" si="4"/>
        <v>Delhi</v>
      </c>
      <c r="Y20" t="str">
        <f t="shared" si="5"/>
        <v>Valid</v>
      </c>
      <c r="Z20" t="str">
        <f t="shared" si="6"/>
        <v>Valid</v>
      </c>
      <c r="AA20" t="str">
        <f t="shared" si="7"/>
        <v>Valid</v>
      </c>
      <c r="AB20" s="9" t="str">
        <f t="shared" si="8"/>
        <v>Valid</v>
      </c>
      <c r="AC20" s="9" t="str">
        <f t="shared" si="9"/>
        <v>Valid</v>
      </c>
      <c r="AD20" s="9" t="str">
        <f>IF(AND(Y20="Valid",Z20="Valid",AA20="Valid",AB20="Valid",COUNTIF($A$2:A20,A20)=1),"Include","Exclude")</f>
        <v>Include</v>
      </c>
    </row>
    <row r="21" spans="1:30" x14ac:dyDescent="0.35">
      <c r="A21" t="s">
        <v>85</v>
      </c>
      <c r="B21" t="s">
        <v>86</v>
      </c>
      <c r="C21" t="s">
        <v>31</v>
      </c>
      <c r="D21">
        <v>35</v>
      </c>
      <c r="E21" t="s">
        <v>55</v>
      </c>
      <c r="F21" t="s">
        <v>33</v>
      </c>
      <c r="G21" t="s">
        <v>24</v>
      </c>
      <c r="H21" t="s">
        <v>52</v>
      </c>
      <c r="I21">
        <v>11</v>
      </c>
      <c r="J21">
        <v>64949</v>
      </c>
      <c r="K21" t="s">
        <v>26</v>
      </c>
      <c r="L21">
        <v>7</v>
      </c>
      <c r="M21">
        <v>37</v>
      </c>
      <c r="N21">
        <v>6</v>
      </c>
      <c r="O21" t="s">
        <v>28</v>
      </c>
      <c r="P21" t="s">
        <v>28</v>
      </c>
      <c r="Q21">
        <v>1</v>
      </c>
      <c r="R21" t="s">
        <v>27</v>
      </c>
      <c r="S21" t="s">
        <v>27</v>
      </c>
      <c r="T21" t="b">
        <f t="shared" si="0"/>
        <v>0</v>
      </c>
      <c r="U21" t="str">
        <f t="shared" si="1"/>
        <v>Employee_0020</v>
      </c>
      <c r="V21" t="str">
        <f t="shared" si="2"/>
        <v>Male</v>
      </c>
      <c r="W21" t="str">
        <f t="shared" si="3"/>
        <v>Sales</v>
      </c>
      <c r="X21" t="str">
        <f t="shared" si="4"/>
        <v>Mumbai</v>
      </c>
      <c r="Y21" t="str">
        <f t="shared" si="5"/>
        <v>Valid</v>
      </c>
      <c r="Z21" t="str">
        <f t="shared" si="6"/>
        <v>Valid</v>
      </c>
      <c r="AA21" t="str">
        <f t="shared" si="7"/>
        <v>Valid</v>
      </c>
      <c r="AB21" s="9" t="str">
        <f t="shared" si="8"/>
        <v>Valid</v>
      </c>
      <c r="AC21" s="9" t="str">
        <f t="shared" si="9"/>
        <v>Valid</v>
      </c>
      <c r="AD21" s="9" t="str">
        <f>IF(AND(Y21="Valid",Z21="Valid",AA21="Valid",AB21="Valid",COUNTIF($A$2:A21,A21)=1),"Include","Exclude")</f>
        <v>Include</v>
      </c>
    </row>
    <row r="22" spans="1:30" x14ac:dyDescent="0.35">
      <c r="A22" t="s">
        <v>87</v>
      </c>
      <c r="B22" t="s">
        <v>88</v>
      </c>
      <c r="C22" t="s">
        <v>21</v>
      </c>
      <c r="D22">
        <v>23</v>
      </c>
      <c r="E22" t="s">
        <v>55</v>
      </c>
      <c r="F22" t="s">
        <v>33</v>
      </c>
      <c r="G22" t="s">
        <v>24</v>
      </c>
      <c r="H22" t="s">
        <v>49</v>
      </c>
      <c r="I22">
        <v>2</v>
      </c>
      <c r="J22">
        <v>45625</v>
      </c>
      <c r="K22" t="s">
        <v>45</v>
      </c>
      <c r="L22">
        <v>1</v>
      </c>
      <c r="M22">
        <v>60</v>
      </c>
      <c r="N22">
        <v>1</v>
      </c>
      <c r="O22" t="s">
        <v>28</v>
      </c>
      <c r="P22" t="s">
        <v>28</v>
      </c>
      <c r="Q22">
        <v>4</v>
      </c>
      <c r="R22" t="s">
        <v>27</v>
      </c>
      <c r="S22" t="s">
        <v>27</v>
      </c>
      <c r="T22" t="b">
        <f t="shared" si="0"/>
        <v>0</v>
      </c>
      <c r="U22" t="str">
        <f t="shared" si="1"/>
        <v>Employee_0021</v>
      </c>
      <c r="V22" t="str">
        <f t="shared" si="2"/>
        <v>Female</v>
      </c>
      <c r="W22" t="str">
        <f t="shared" si="3"/>
        <v>Sales</v>
      </c>
      <c r="X22" t="str">
        <f t="shared" si="4"/>
        <v>Delhi</v>
      </c>
      <c r="Y22" t="str">
        <f t="shared" si="5"/>
        <v>Valid</v>
      </c>
      <c r="Z22" t="str">
        <f t="shared" si="6"/>
        <v>Valid</v>
      </c>
      <c r="AA22" t="str">
        <f t="shared" si="7"/>
        <v>Valid</v>
      </c>
      <c r="AB22" s="9" t="str">
        <f t="shared" si="8"/>
        <v>Valid</v>
      </c>
      <c r="AC22" s="9" t="str">
        <f t="shared" si="9"/>
        <v>Valid</v>
      </c>
      <c r="AD22" s="9" t="str">
        <f>IF(AND(Y22="Valid",Z22="Valid",AA22="Valid",AB22="Valid",COUNTIF($A$2:A22,A22)=1),"Include","Exclude")</f>
        <v>Include</v>
      </c>
    </row>
    <row r="23" spans="1:30" x14ac:dyDescent="0.35">
      <c r="A23" t="s">
        <v>89</v>
      </c>
      <c r="B23" t="s">
        <v>90</v>
      </c>
      <c r="C23" t="s">
        <v>31</v>
      </c>
      <c r="D23">
        <v>41</v>
      </c>
      <c r="E23" t="s">
        <v>55</v>
      </c>
      <c r="F23" t="s">
        <v>33</v>
      </c>
      <c r="G23" t="s">
        <v>44</v>
      </c>
      <c r="H23" t="s">
        <v>25</v>
      </c>
      <c r="I23">
        <v>16</v>
      </c>
      <c r="J23">
        <v>71425</v>
      </c>
      <c r="K23" t="s">
        <v>40</v>
      </c>
      <c r="L23">
        <v>4</v>
      </c>
      <c r="M23">
        <v>23</v>
      </c>
      <c r="N23">
        <v>7</v>
      </c>
      <c r="O23" t="s">
        <v>28</v>
      </c>
      <c r="P23" t="s">
        <v>27</v>
      </c>
      <c r="Q23">
        <v>1</v>
      </c>
      <c r="R23" t="s">
        <v>27</v>
      </c>
      <c r="S23" t="s">
        <v>28</v>
      </c>
      <c r="T23" t="b">
        <f t="shared" si="0"/>
        <v>0</v>
      </c>
      <c r="U23" t="str">
        <f t="shared" si="1"/>
        <v>Employee_0022</v>
      </c>
      <c r="V23" t="str">
        <f t="shared" si="2"/>
        <v>Male</v>
      </c>
      <c r="W23" t="str">
        <f t="shared" si="3"/>
        <v>Sales</v>
      </c>
      <c r="X23" t="str">
        <f t="shared" si="4"/>
        <v>Hyderabad</v>
      </c>
      <c r="Y23" t="str">
        <f t="shared" si="5"/>
        <v>Valid</v>
      </c>
      <c r="Z23" t="str">
        <f t="shared" si="6"/>
        <v>Valid</v>
      </c>
      <c r="AA23" t="str">
        <f t="shared" si="7"/>
        <v>Valid</v>
      </c>
      <c r="AB23" s="9" t="str">
        <f t="shared" si="8"/>
        <v>Valid</v>
      </c>
      <c r="AC23" s="9" t="str">
        <f t="shared" si="9"/>
        <v>Valid</v>
      </c>
      <c r="AD23" s="9" t="str">
        <f>IF(AND(Y23="Valid",Z23="Valid",AA23="Valid",AB23="Valid",COUNTIF($A$2:A23,A23)=1),"Include","Exclude")</f>
        <v>Include</v>
      </c>
    </row>
    <row r="24" spans="1:30" x14ac:dyDescent="0.35">
      <c r="A24" t="s">
        <v>91</v>
      </c>
      <c r="B24" t="s">
        <v>92</v>
      </c>
      <c r="C24" t="s">
        <v>21</v>
      </c>
      <c r="D24">
        <v>50</v>
      </c>
      <c r="E24" t="s">
        <v>55</v>
      </c>
      <c r="F24" t="s">
        <v>39</v>
      </c>
      <c r="G24" t="s">
        <v>69</v>
      </c>
      <c r="H24" t="s">
        <v>52</v>
      </c>
      <c r="I24">
        <v>14</v>
      </c>
      <c r="J24">
        <v>71060</v>
      </c>
      <c r="K24" t="s">
        <v>45</v>
      </c>
      <c r="L24">
        <v>1</v>
      </c>
      <c r="M24">
        <v>18</v>
      </c>
      <c r="N24">
        <v>4</v>
      </c>
      <c r="O24" t="s">
        <v>27</v>
      </c>
      <c r="P24" t="s">
        <v>28</v>
      </c>
      <c r="Q24">
        <v>3</v>
      </c>
      <c r="R24" t="s">
        <v>28</v>
      </c>
      <c r="S24" t="s">
        <v>28</v>
      </c>
      <c r="T24" t="b">
        <f t="shared" si="0"/>
        <v>0</v>
      </c>
      <c r="U24" t="str">
        <f t="shared" si="1"/>
        <v>Employee_0023</v>
      </c>
      <c r="V24" t="str">
        <f t="shared" si="2"/>
        <v>Female</v>
      </c>
      <c r="W24" t="str">
        <f t="shared" si="3"/>
        <v>Operations</v>
      </c>
      <c r="X24" t="str">
        <f t="shared" si="4"/>
        <v>Mumbai</v>
      </c>
      <c r="Y24" t="str">
        <f t="shared" si="5"/>
        <v>Valid</v>
      </c>
      <c r="Z24" t="str">
        <f t="shared" si="6"/>
        <v>Valid</v>
      </c>
      <c r="AA24" t="str">
        <f t="shared" si="7"/>
        <v>Valid</v>
      </c>
      <c r="AB24" s="9" t="str">
        <f t="shared" si="8"/>
        <v>Valid</v>
      </c>
      <c r="AC24" s="9" t="str">
        <f t="shared" si="9"/>
        <v>Valid</v>
      </c>
      <c r="AD24" s="9" t="str">
        <f>IF(AND(Y24="Valid",Z24="Valid",AA24="Valid",AB24="Valid",COUNTIF($A$2:A24,A24)=1),"Include","Exclude")</f>
        <v>Include</v>
      </c>
    </row>
    <row r="25" spans="1:30" x14ac:dyDescent="0.35">
      <c r="A25" t="s">
        <v>93</v>
      </c>
      <c r="B25" t="s">
        <v>94</v>
      </c>
      <c r="C25" t="s">
        <v>31</v>
      </c>
      <c r="D25">
        <v>36</v>
      </c>
      <c r="E25" t="s">
        <v>55</v>
      </c>
      <c r="F25" t="s">
        <v>23</v>
      </c>
      <c r="G25" t="s">
        <v>44</v>
      </c>
      <c r="H25" t="s">
        <v>52</v>
      </c>
      <c r="I25">
        <v>7</v>
      </c>
      <c r="J25">
        <v>55216</v>
      </c>
      <c r="K25" t="s">
        <v>45</v>
      </c>
      <c r="L25">
        <v>1</v>
      </c>
      <c r="M25">
        <v>39</v>
      </c>
      <c r="N25">
        <v>1</v>
      </c>
      <c r="O25" t="s">
        <v>27</v>
      </c>
      <c r="P25" t="s">
        <v>28</v>
      </c>
      <c r="Q25">
        <v>5</v>
      </c>
      <c r="R25" t="s">
        <v>27</v>
      </c>
      <c r="S25" t="s">
        <v>27</v>
      </c>
      <c r="T25" t="b">
        <f t="shared" si="0"/>
        <v>0</v>
      </c>
      <c r="U25" t="str">
        <f t="shared" si="1"/>
        <v>Employee_0024</v>
      </c>
      <c r="V25" t="str">
        <f t="shared" si="2"/>
        <v>Male</v>
      </c>
      <c r="W25" t="str">
        <f t="shared" si="3"/>
        <v>Finance</v>
      </c>
      <c r="X25" t="str">
        <f t="shared" si="4"/>
        <v>Mumbai</v>
      </c>
      <c r="Y25" t="str">
        <f t="shared" si="5"/>
        <v>Valid</v>
      </c>
      <c r="Z25" t="str">
        <f t="shared" si="6"/>
        <v>Valid</v>
      </c>
      <c r="AA25" t="str">
        <f t="shared" si="7"/>
        <v>Valid</v>
      </c>
      <c r="AB25" s="9" t="str">
        <f t="shared" si="8"/>
        <v>Valid</v>
      </c>
      <c r="AC25" s="9" t="str">
        <f t="shared" si="9"/>
        <v>Valid</v>
      </c>
      <c r="AD25" s="9" t="str">
        <f>IF(AND(Y25="Valid",Z25="Valid",AA25="Valid",AB25="Valid",COUNTIF($A$2:A25,A25)=1),"Include","Exclude")</f>
        <v>Include</v>
      </c>
    </row>
    <row r="26" spans="1:30" x14ac:dyDescent="0.35">
      <c r="A26" t="s">
        <v>95</v>
      </c>
      <c r="B26" t="s">
        <v>96</v>
      </c>
      <c r="C26" t="s">
        <v>21</v>
      </c>
      <c r="D26">
        <v>43</v>
      </c>
      <c r="E26" t="s">
        <v>55</v>
      </c>
      <c r="F26" t="s">
        <v>48</v>
      </c>
      <c r="G26" t="s">
        <v>24</v>
      </c>
      <c r="H26" t="s">
        <v>52</v>
      </c>
      <c r="I26">
        <v>13</v>
      </c>
      <c r="J26">
        <v>50676</v>
      </c>
      <c r="K26" t="s">
        <v>45</v>
      </c>
      <c r="L26">
        <v>4</v>
      </c>
      <c r="M26">
        <v>34</v>
      </c>
      <c r="N26">
        <v>4</v>
      </c>
      <c r="O26" t="s">
        <v>27</v>
      </c>
      <c r="P26" t="s">
        <v>28</v>
      </c>
      <c r="Q26">
        <v>2</v>
      </c>
      <c r="R26" t="s">
        <v>27</v>
      </c>
      <c r="S26" t="s">
        <v>27</v>
      </c>
      <c r="T26" t="b">
        <f t="shared" si="0"/>
        <v>0</v>
      </c>
      <c r="U26" t="str">
        <f t="shared" si="1"/>
        <v>Employee_0025</v>
      </c>
      <c r="V26" t="str">
        <f t="shared" si="2"/>
        <v>Female</v>
      </c>
      <c r="W26" t="str">
        <f t="shared" si="3"/>
        <v>Customer Support</v>
      </c>
      <c r="X26" t="str">
        <f t="shared" si="4"/>
        <v>Mumbai</v>
      </c>
      <c r="Y26" t="str">
        <f t="shared" si="5"/>
        <v>Valid</v>
      </c>
      <c r="Z26" t="str">
        <f t="shared" si="6"/>
        <v>Valid</v>
      </c>
      <c r="AA26" t="str">
        <f t="shared" si="7"/>
        <v>Valid</v>
      </c>
      <c r="AB26" s="9" t="str">
        <f t="shared" si="8"/>
        <v>Valid</v>
      </c>
      <c r="AC26" s="9" t="str">
        <f t="shared" si="9"/>
        <v>Valid</v>
      </c>
      <c r="AD26" s="9" t="str">
        <f>IF(AND(Y26="Valid",Z26="Valid",AA26="Valid",AB26="Valid",COUNTIF($A$2:A26,A26)=1),"Include","Exclude")</f>
        <v>Include</v>
      </c>
    </row>
    <row r="27" spans="1:30" x14ac:dyDescent="0.35">
      <c r="A27" t="s">
        <v>97</v>
      </c>
      <c r="B27" t="s">
        <v>98</v>
      </c>
      <c r="C27" t="s">
        <v>31</v>
      </c>
      <c r="D27">
        <v>41</v>
      </c>
      <c r="E27" t="s">
        <v>55</v>
      </c>
      <c r="F27" t="s">
        <v>60</v>
      </c>
      <c r="G27" t="s">
        <v>24</v>
      </c>
      <c r="H27" t="s">
        <v>34</v>
      </c>
      <c r="I27">
        <v>7</v>
      </c>
      <c r="J27">
        <v>42979</v>
      </c>
      <c r="K27" t="s">
        <v>45</v>
      </c>
      <c r="L27">
        <v>4</v>
      </c>
      <c r="M27">
        <v>2</v>
      </c>
      <c r="N27">
        <v>5</v>
      </c>
      <c r="O27" t="s">
        <v>27</v>
      </c>
      <c r="P27" t="s">
        <v>28</v>
      </c>
      <c r="Q27">
        <v>2</v>
      </c>
      <c r="R27" t="s">
        <v>27</v>
      </c>
      <c r="S27" t="s">
        <v>27</v>
      </c>
      <c r="T27" t="b">
        <f t="shared" si="0"/>
        <v>0</v>
      </c>
      <c r="U27" t="str">
        <f t="shared" si="1"/>
        <v>Employee_0026</v>
      </c>
      <c r="V27" t="str">
        <f t="shared" si="2"/>
        <v>Male</v>
      </c>
      <c r="W27" t="str">
        <f t="shared" si="3"/>
        <v>Hr</v>
      </c>
      <c r="X27" t="str">
        <f t="shared" si="4"/>
        <v>Gurgaon</v>
      </c>
      <c r="Y27" t="str">
        <f t="shared" si="5"/>
        <v>Valid</v>
      </c>
      <c r="Z27" t="str">
        <f t="shared" si="6"/>
        <v>Valid</v>
      </c>
      <c r="AA27" t="str">
        <f t="shared" si="7"/>
        <v>Valid</v>
      </c>
      <c r="AB27" s="9" t="str">
        <f t="shared" si="8"/>
        <v>Valid</v>
      </c>
      <c r="AC27" s="9" t="str">
        <f t="shared" si="9"/>
        <v>Valid</v>
      </c>
      <c r="AD27" s="9" t="str">
        <f>IF(AND(Y27="Valid",Z27="Valid",AA27="Valid",AB27="Valid",COUNTIF($A$2:A27,A27)=1),"Include","Exclude")</f>
        <v>Include</v>
      </c>
    </row>
    <row r="28" spans="1:30" x14ac:dyDescent="0.35">
      <c r="A28" t="s">
        <v>99</v>
      </c>
      <c r="B28" t="s">
        <v>100</v>
      </c>
      <c r="C28" t="s">
        <v>31</v>
      </c>
      <c r="D28">
        <v>47</v>
      </c>
      <c r="E28" t="s">
        <v>38</v>
      </c>
      <c r="F28" t="s">
        <v>23</v>
      </c>
      <c r="G28" t="s">
        <v>24</v>
      </c>
      <c r="H28" t="s">
        <v>25</v>
      </c>
      <c r="I28">
        <v>19</v>
      </c>
      <c r="J28">
        <v>77478</v>
      </c>
      <c r="K28" t="s">
        <v>26</v>
      </c>
      <c r="L28">
        <v>1</v>
      </c>
      <c r="M28">
        <v>15</v>
      </c>
      <c r="N28">
        <v>1</v>
      </c>
      <c r="O28" t="s">
        <v>27</v>
      </c>
      <c r="P28" t="s">
        <v>28</v>
      </c>
      <c r="Q28">
        <v>3</v>
      </c>
      <c r="R28" t="s">
        <v>28</v>
      </c>
      <c r="S28" t="s">
        <v>27</v>
      </c>
      <c r="T28" t="b">
        <f t="shared" si="0"/>
        <v>0</v>
      </c>
      <c r="U28" t="str">
        <f t="shared" si="1"/>
        <v>Employee_0027</v>
      </c>
      <c r="V28" t="str">
        <f t="shared" si="2"/>
        <v>Male</v>
      </c>
      <c r="W28" t="str">
        <f t="shared" si="3"/>
        <v>Finance</v>
      </c>
      <c r="X28" t="str">
        <f t="shared" si="4"/>
        <v>Hyderabad</v>
      </c>
      <c r="Y28" t="str">
        <f t="shared" si="5"/>
        <v>Valid</v>
      </c>
      <c r="Z28" t="str">
        <f t="shared" si="6"/>
        <v>Valid</v>
      </c>
      <c r="AA28" t="str">
        <f t="shared" si="7"/>
        <v>Valid</v>
      </c>
      <c r="AB28" s="9" t="str">
        <f t="shared" si="8"/>
        <v>Valid</v>
      </c>
      <c r="AC28" s="9" t="str">
        <f t="shared" si="9"/>
        <v>Valid</v>
      </c>
      <c r="AD28" s="9" t="str">
        <f>IF(AND(Y28="Valid",Z28="Valid",AA28="Valid",AB28="Valid",COUNTIF($A$2:A28,A28)=1),"Include","Exclude")</f>
        <v>Include</v>
      </c>
    </row>
    <row r="29" spans="1:30" x14ac:dyDescent="0.35">
      <c r="A29" t="s">
        <v>101</v>
      </c>
      <c r="B29" t="s">
        <v>102</v>
      </c>
      <c r="C29" t="s">
        <v>21</v>
      </c>
      <c r="D29">
        <v>31</v>
      </c>
      <c r="E29" t="s">
        <v>55</v>
      </c>
      <c r="F29" t="s">
        <v>48</v>
      </c>
      <c r="G29" t="s">
        <v>24</v>
      </c>
      <c r="H29" t="s">
        <v>70</v>
      </c>
      <c r="I29">
        <v>7</v>
      </c>
      <c r="J29">
        <v>53535</v>
      </c>
      <c r="K29" t="s">
        <v>45</v>
      </c>
      <c r="L29">
        <v>8</v>
      </c>
      <c r="M29">
        <v>26</v>
      </c>
      <c r="N29">
        <v>2</v>
      </c>
      <c r="O29" t="s">
        <v>27</v>
      </c>
      <c r="P29" t="s">
        <v>28</v>
      </c>
      <c r="Q29">
        <v>5</v>
      </c>
      <c r="R29" t="s">
        <v>27</v>
      </c>
      <c r="S29" t="s">
        <v>27</v>
      </c>
      <c r="T29" t="b">
        <f t="shared" si="0"/>
        <v>0</v>
      </c>
      <c r="U29" t="str">
        <f t="shared" si="1"/>
        <v>Employee_0028</v>
      </c>
      <c r="V29" t="str">
        <f t="shared" si="2"/>
        <v>Female</v>
      </c>
      <c r="W29" t="str">
        <f t="shared" si="3"/>
        <v>Customer Support</v>
      </c>
      <c r="X29" t="str">
        <f t="shared" si="4"/>
        <v>Bangalore</v>
      </c>
      <c r="Y29" t="str">
        <f t="shared" si="5"/>
        <v>Valid</v>
      </c>
      <c r="Z29" t="str">
        <f t="shared" si="6"/>
        <v>Valid</v>
      </c>
      <c r="AA29" t="str">
        <f t="shared" si="7"/>
        <v>Valid</v>
      </c>
      <c r="AB29" s="9" t="str">
        <f t="shared" si="8"/>
        <v>Valid</v>
      </c>
      <c r="AC29" s="9" t="str">
        <f t="shared" si="9"/>
        <v>Valid</v>
      </c>
      <c r="AD29" s="9" t="str">
        <f>IF(AND(Y29="Valid",Z29="Valid",AA29="Valid",AB29="Valid",COUNTIF($A$2:A29,A29)=1),"Include","Exclude")</f>
        <v>Include</v>
      </c>
    </row>
    <row r="30" spans="1:30" x14ac:dyDescent="0.35">
      <c r="A30" t="s">
        <v>103</v>
      </c>
      <c r="B30" t="s">
        <v>104</v>
      </c>
      <c r="C30" t="s">
        <v>21</v>
      </c>
      <c r="D30">
        <v>23</v>
      </c>
      <c r="E30" t="s">
        <v>55</v>
      </c>
      <c r="F30" t="s">
        <v>23</v>
      </c>
      <c r="G30" t="s">
        <v>24</v>
      </c>
      <c r="H30" t="s">
        <v>52</v>
      </c>
      <c r="I30">
        <v>1</v>
      </c>
      <c r="J30">
        <v>66593</v>
      </c>
      <c r="K30" t="s">
        <v>45</v>
      </c>
      <c r="L30">
        <v>10</v>
      </c>
      <c r="M30">
        <v>20</v>
      </c>
      <c r="N30">
        <v>5</v>
      </c>
      <c r="O30" t="s">
        <v>27</v>
      </c>
      <c r="P30" t="s">
        <v>28</v>
      </c>
      <c r="Q30">
        <v>2</v>
      </c>
      <c r="R30" t="s">
        <v>27</v>
      </c>
      <c r="S30" t="s">
        <v>27</v>
      </c>
      <c r="T30" t="b">
        <f t="shared" si="0"/>
        <v>0</v>
      </c>
      <c r="U30" t="str">
        <f t="shared" si="1"/>
        <v>Employee_0029</v>
      </c>
      <c r="V30" t="str">
        <f t="shared" si="2"/>
        <v>Female</v>
      </c>
      <c r="W30" t="str">
        <f t="shared" si="3"/>
        <v>Finance</v>
      </c>
      <c r="X30" t="str">
        <f t="shared" si="4"/>
        <v>Mumbai</v>
      </c>
      <c r="Y30" t="str">
        <f t="shared" si="5"/>
        <v>Valid</v>
      </c>
      <c r="Z30" t="str">
        <f t="shared" si="6"/>
        <v>Valid</v>
      </c>
      <c r="AA30" t="str">
        <f t="shared" si="7"/>
        <v>Valid</v>
      </c>
      <c r="AB30" s="9" t="str">
        <f t="shared" si="8"/>
        <v>Valid</v>
      </c>
      <c r="AC30" s="9" t="str">
        <f t="shared" si="9"/>
        <v>Valid</v>
      </c>
      <c r="AD30" s="9" t="str">
        <f>IF(AND(Y30="Valid",Z30="Valid",AA30="Valid",AB30="Valid",COUNTIF($A$2:A30,A30)=1),"Include","Exclude")</f>
        <v>Include</v>
      </c>
    </row>
    <row r="31" spans="1:30" x14ac:dyDescent="0.35">
      <c r="A31" t="s">
        <v>105</v>
      </c>
      <c r="B31" t="s">
        <v>106</v>
      </c>
      <c r="C31" t="s">
        <v>21</v>
      </c>
      <c r="D31">
        <v>35</v>
      </c>
      <c r="E31" t="s">
        <v>22</v>
      </c>
      <c r="F31" t="s">
        <v>39</v>
      </c>
      <c r="G31" t="s">
        <v>24</v>
      </c>
      <c r="H31" t="s">
        <v>25</v>
      </c>
      <c r="I31">
        <v>8</v>
      </c>
      <c r="J31">
        <v>40704</v>
      </c>
      <c r="K31" t="s">
        <v>26</v>
      </c>
      <c r="L31">
        <v>1</v>
      </c>
      <c r="M31">
        <v>36</v>
      </c>
      <c r="N31">
        <v>3</v>
      </c>
      <c r="O31" t="s">
        <v>28</v>
      </c>
      <c r="P31" t="s">
        <v>27</v>
      </c>
      <c r="Q31">
        <v>1</v>
      </c>
      <c r="R31" t="s">
        <v>27</v>
      </c>
      <c r="S31" t="s">
        <v>27</v>
      </c>
      <c r="T31" t="b">
        <f t="shared" si="0"/>
        <v>0</v>
      </c>
      <c r="U31" t="str">
        <f t="shared" si="1"/>
        <v>Employee_0030</v>
      </c>
      <c r="V31" t="str">
        <f t="shared" si="2"/>
        <v>Female</v>
      </c>
      <c r="W31" t="str">
        <f t="shared" si="3"/>
        <v>Operations</v>
      </c>
      <c r="X31" t="str">
        <f t="shared" si="4"/>
        <v>Hyderabad</v>
      </c>
      <c r="Y31" t="str">
        <f t="shared" si="5"/>
        <v>Valid</v>
      </c>
      <c r="Z31" t="str">
        <f t="shared" si="6"/>
        <v>Valid</v>
      </c>
      <c r="AA31" t="str">
        <f t="shared" si="7"/>
        <v>Valid</v>
      </c>
      <c r="AB31" s="9" t="str">
        <f t="shared" si="8"/>
        <v>Valid</v>
      </c>
      <c r="AC31" s="9" t="str">
        <f t="shared" si="9"/>
        <v>Valid</v>
      </c>
      <c r="AD31" s="9" t="str">
        <f>IF(AND(Y31="Valid",Z31="Valid",AA31="Valid",AB31="Valid",COUNTIF($A$2:A31,A31)=1),"Include","Exclude")</f>
        <v>Include</v>
      </c>
    </row>
    <row r="32" spans="1:30" x14ac:dyDescent="0.35">
      <c r="A32" t="s">
        <v>107</v>
      </c>
      <c r="B32" t="s">
        <v>108</v>
      </c>
      <c r="C32" t="s">
        <v>31</v>
      </c>
      <c r="D32">
        <v>40</v>
      </c>
      <c r="E32" t="s">
        <v>38</v>
      </c>
      <c r="F32" t="s">
        <v>43</v>
      </c>
      <c r="G32" t="s">
        <v>24</v>
      </c>
      <c r="H32" t="s">
        <v>34</v>
      </c>
      <c r="I32">
        <v>9</v>
      </c>
      <c r="J32">
        <v>65443</v>
      </c>
      <c r="K32" t="s">
        <v>45</v>
      </c>
      <c r="L32">
        <v>8</v>
      </c>
      <c r="M32">
        <v>44</v>
      </c>
      <c r="N32">
        <v>6</v>
      </c>
      <c r="O32" t="s">
        <v>28</v>
      </c>
      <c r="P32" t="s">
        <v>27</v>
      </c>
      <c r="Q32">
        <v>2</v>
      </c>
      <c r="R32" t="s">
        <v>27</v>
      </c>
      <c r="S32" t="s">
        <v>27</v>
      </c>
      <c r="T32" t="b">
        <f t="shared" si="0"/>
        <v>0</v>
      </c>
      <c r="U32" t="str">
        <f t="shared" si="1"/>
        <v>Employee_0031</v>
      </c>
      <c r="V32" t="str">
        <f t="shared" si="2"/>
        <v>Male</v>
      </c>
      <c r="W32" t="str">
        <f t="shared" si="3"/>
        <v>It</v>
      </c>
      <c r="X32" t="str">
        <f t="shared" si="4"/>
        <v>Gurgaon</v>
      </c>
      <c r="Y32" t="str">
        <f t="shared" si="5"/>
        <v>Valid</v>
      </c>
      <c r="Z32" t="str">
        <f t="shared" si="6"/>
        <v>Valid</v>
      </c>
      <c r="AA32" t="str">
        <f t="shared" si="7"/>
        <v>Valid</v>
      </c>
      <c r="AB32" s="9" t="str">
        <f t="shared" si="8"/>
        <v>Valid</v>
      </c>
      <c r="AC32" s="9" t="str">
        <f t="shared" si="9"/>
        <v>Valid</v>
      </c>
      <c r="AD32" s="9" t="str">
        <f>IF(AND(Y32="Valid",Z32="Valid",AA32="Valid",AB32="Valid",COUNTIF($A$2:A32,A32)=1),"Include","Exclude")</f>
        <v>Include</v>
      </c>
    </row>
    <row r="33" spans="1:30" x14ac:dyDescent="0.35">
      <c r="A33" t="s">
        <v>109</v>
      </c>
      <c r="B33" t="s">
        <v>110</v>
      </c>
      <c r="C33" t="s">
        <v>21</v>
      </c>
      <c r="D33">
        <v>46</v>
      </c>
      <c r="E33" t="s">
        <v>38</v>
      </c>
      <c r="F33" t="s">
        <v>43</v>
      </c>
      <c r="G33" t="s">
        <v>24</v>
      </c>
      <c r="H33" t="s">
        <v>52</v>
      </c>
      <c r="I33">
        <v>17</v>
      </c>
      <c r="J33">
        <v>78832</v>
      </c>
      <c r="K33" t="s">
        <v>45</v>
      </c>
      <c r="L33">
        <v>6</v>
      </c>
      <c r="M33">
        <v>42</v>
      </c>
      <c r="N33">
        <v>5</v>
      </c>
      <c r="O33" t="s">
        <v>27</v>
      </c>
      <c r="P33" t="s">
        <v>28</v>
      </c>
      <c r="Q33">
        <v>3</v>
      </c>
      <c r="R33" t="s">
        <v>27</v>
      </c>
      <c r="S33" t="s">
        <v>27</v>
      </c>
      <c r="T33" t="b">
        <f t="shared" si="0"/>
        <v>0</v>
      </c>
      <c r="U33" t="str">
        <f t="shared" si="1"/>
        <v>Employee_0032</v>
      </c>
      <c r="V33" t="str">
        <f t="shared" si="2"/>
        <v>Female</v>
      </c>
      <c r="W33" t="str">
        <f t="shared" si="3"/>
        <v>It</v>
      </c>
      <c r="X33" t="str">
        <f t="shared" si="4"/>
        <v>Mumbai</v>
      </c>
      <c r="Y33" t="str">
        <f t="shared" si="5"/>
        <v>Valid</v>
      </c>
      <c r="Z33" t="str">
        <f t="shared" si="6"/>
        <v>Valid</v>
      </c>
      <c r="AA33" t="str">
        <f t="shared" si="7"/>
        <v>Valid</v>
      </c>
      <c r="AB33" s="9" t="str">
        <f t="shared" si="8"/>
        <v>Valid</v>
      </c>
      <c r="AC33" s="9" t="str">
        <f t="shared" si="9"/>
        <v>Valid</v>
      </c>
      <c r="AD33" s="9" t="str">
        <f>IF(AND(Y33="Valid",Z33="Valid",AA33="Valid",AB33="Valid",COUNTIF($A$2:A33,A33)=1),"Include","Exclude")</f>
        <v>Include</v>
      </c>
    </row>
    <row r="34" spans="1:30" x14ac:dyDescent="0.35">
      <c r="A34" t="s">
        <v>111</v>
      </c>
      <c r="B34" t="s">
        <v>112</v>
      </c>
      <c r="C34" t="s">
        <v>31</v>
      </c>
      <c r="D34">
        <v>51</v>
      </c>
      <c r="E34" t="s">
        <v>55</v>
      </c>
      <c r="F34" t="s">
        <v>23</v>
      </c>
      <c r="G34" t="s">
        <v>24</v>
      </c>
      <c r="H34" t="s">
        <v>34</v>
      </c>
      <c r="I34">
        <v>18</v>
      </c>
      <c r="J34">
        <v>81878</v>
      </c>
      <c r="K34" t="s">
        <v>45</v>
      </c>
      <c r="L34">
        <v>10</v>
      </c>
      <c r="M34">
        <v>38</v>
      </c>
      <c r="N34">
        <v>4</v>
      </c>
      <c r="O34" t="s">
        <v>27</v>
      </c>
      <c r="P34" t="s">
        <v>28</v>
      </c>
      <c r="Q34">
        <v>3</v>
      </c>
      <c r="R34" t="s">
        <v>28</v>
      </c>
      <c r="S34" t="s">
        <v>27</v>
      </c>
      <c r="T34" t="b">
        <f t="shared" si="0"/>
        <v>0</v>
      </c>
      <c r="U34" t="str">
        <f t="shared" si="1"/>
        <v>Employee_0033</v>
      </c>
      <c r="V34" t="str">
        <f t="shared" si="2"/>
        <v>Male</v>
      </c>
      <c r="W34" t="str">
        <f t="shared" si="3"/>
        <v>Finance</v>
      </c>
      <c r="X34" t="str">
        <f t="shared" si="4"/>
        <v>Gurgaon</v>
      </c>
      <c r="Y34" t="str">
        <f t="shared" si="5"/>
        <v>Valid</v>
      </c>
      <c r="Z34" t="str">
        <f t="shared" si="6"/>
        <v>Valid</v>
      </c>
      <c r="AA34" t="str">
        <f t="shared" si="7"/>
        <v>Valid</v>
      </c>
      <c r="AB34" s="9" t="str">
        <f t="shared" si="8"/>
        <v>Valid</v>
      </c>
      <c r="AC34" s="9" t="str">
        <f t="shared" si="9"/>
        <v>Valid</v>
      </c>
      <c r="AD34" s="9" t="str">
        <f>IF(AND(Y34="Valid",Z34="Valid",AA34="Valid",AB34="Valid",COUNTIF($A$2:A34,A34)=1),"Include","Exclude")</f>
        <v>Include</v>
      </c>
    </row>
    <row r="35" spans="1:30" x14ac:dyDescent="0.35">
      <c r="A35" t="s">
        <v>113</v>
      </c>
      <c r="B35" t="s">
        <v>114</v>
      </c>
      <c r="C35" t="s">
        <v>31</v>
      </c>
      <c r="D35">
        <v>42</v>
      </c>
      <c r="E35" t="s">
        <v>38</v>
      </c>
      <c r="F35" t="s">
        <v>33</v>
      </c>
      <c r="G35" t="s">
        <v>69</v>
      </c>
      <c r="H35" t="s">
        <v>61</v>
      </c>
      <c r="I35">
        <v>8</v>
      </c>
      <c r="J35">
        <v>60371</v>
      </c>
      <c r="K35" t="s">
        <v>45</v>
      </c>
      <c r="L35">
        <v>4</v>
      </c>
      <c r="M35">
        <v>23</v>
      </c>
      <c r="N35">
        <v>5</v>
      </c>
      <c r="O35" t="s">
        <v>27</v>
      </c>
      <c r="P35" t="s">
        <v>27</v>
      </c>
      <c r="Q35">
        <v>2</v>
      </c>
      <c r="R35" t="s">
        <v>28</v>
      </c>
      <c r="S35" t="s">
        <v>27</v>
      </c>
      <c r="T35" t="b">
        <f t="shared" si="0"/>
        <v>0</v>
      </c>
      <c r="U35" t="str">
        <f t="shared" si="1"/>
        <v>Employee_0034</v>
      </c>
      <c r="V35" t="str">
        <f t="shared" si="2"/>
        <v>Male</v>
      </c>
      <c r="W35" t="str">
        <f t="shared" si="3"/>
        <v>Sales</v>
      </c>
      <c r="X35" t="str">
        <f t="shared" si="4"/>
        <v>Noida</v>
      </c>
      <c r="Y35" t="str">
        <f t="shared" si="5"/>
        <v>Valid</v>
      </c>
      <c r="Z35" t="str">
        <f t="shared" si="6"/>
        <v>Valid</v>
      </c>
      <c r="AA35" t="str">
        <f t="shared" si="7"/>
        <v>Valid</v>
      </c>
      <c r="AB35" s="9" t="str">
        <f t="shared" si="8"/>
        <v>Valid</v>
      </c>
      <c r="AC35" s="9" t="str">
        <f t="shared" si="9"/>
        <v>Valid</v>
      </c>
      <c r="AD35" s="9" t="str">
        <f>IF(AND(Y35="Valid",Z35="Valid",AA35="Valid",AB35="Valid",COUNTIF($A$2:A35,A35)=1),"Include","Exclude")</f>
        <v>Include</v>
      </c>
    </row>
    <row r="36" spans="1:30" x14ac:dyDescent="0.35">
      <c r="A36" t="s">
        <v>115</v>
      </c>
      <c r="B36" t="s">
        <v>116</v>
      </c>
      <c r="C36" t="s">
        <v>31</v>
      </c>
      <c r="D36">
        <v>33</v>
      </c>
      <c r="E36" t="s">
        <v>55</v>
      </c>
      <c r="F36" t="s">
        <v>43</v>
      </c>
      <c r="G36" t="s">
        <v>24</v>
      </c>
      <c r="H36" t="s">
        <v>25</v>
      </c>
      <c r="I36">
        <v>5</v>
      </c>
      <c r="J36">
        <v>82000</v>
      </c>
      <c r="K36" t="s">
        <v>26</v>
      </c>
      <c r="L36">
        <v>9</v>
      </c>
      <c r="M36">
        <v>13</v>
      </c>
      <c r="N36">
        <v>3</v>
      </c>
      <c r="O36" t="s">
        <v>27</v>
      </c>
      <c r="P36" t="s">
        <v>28</v>
      </c>
      <c r="Q36">
        <v>4</v>
      </c>
      <c r="R36" t="s">
        <v>27</v>
      </c>
      <c r="S36" t="s">
        <v>27</v>
      </c>
      <c r="T36" t="b">
        <f t="shared" si="0"/>
        <v>0</v>
      </c>
      <c r="U36" t="str">
        <f t="shared" si="1"/>
        <v>Employee_0035</v>
      </c>
      <c r="V36" t="str">
        <f t="shared" si="2"/>
        <v>Male</v>
      </c>
      <c r="W36" t="str">
        <f t="shared" si="3"/>
        <v>It</v>
      </c>
      <c r="X36" t="str">
        <f t="shared" si="4"/>
        <v>Hyderabad</v>
      </c>
      <c r="Y36" t="str">
        <f t="shared" si="5"/>
        <v>Valid</v>
      </c>
      <c r="Z36" t="str">
        <f t="shared" si="6"/>
        <v>Valid</v>
      </c>
      <c r="AA36" t="str">
        <f t="shared" si="7"/>
        <v>Valid</v>
      </c>
      <c r="AB36" s="9" t="str">
        <f t="shared" si="8"/>
        <v>Valid</v>
      </c>
      <c r="AC36" s="9" t="str">
        <f t="shared" si="9"/>
        <v>Valid</v>
      </c>
      <c r="AD36" s="9" t="str">
        <f>IF(AND(Y36="Valid",Z36="Valid",AA36="Valid",AB36="Valid",COUNTIF($A$2:A36,A36)=1),"Include","Exclude")</f>
        <v>Include</v>
      </c>
    </row>
    <row r="37" spans="1:30" x14ac:dyDescent="0.35">
      <c r="A37" t="s">
        <v>117</v>
      </c>
      <c r="B37" t="s">
        <v>118</v>
      </c>
      <c r="C37" t="s">
        <v>31</v>
      </c>
      <c r="D37">
        <v>47</v>
      </c>
      <c r="E37" t="s">
        <v>55</v>
      </c>
      <c r="F37" t="s">
        <v>23</v>
      </c>
      <c r="G37" t="s">
        <v>24</v>
      </c>
      <c r="H37" t="s">
        <v>61</v>
      </c>
      <c r="I37">
        <v>11</v>
      </c>
      <c r="J37">
        <v>72841</v>
      </c>
      <c r="K37" t="s">
        <v>45</v>
      </c>
      <c r="L37">
        <v>7</v>
      </c>
      <c r="M37">
        <v>29</v>
      </c>
      <c r="N37">
        <v>4</v>
      </c>
      <c r="O37" t="s">
        <v>27</v>
      </c>
      <c r="P37" t="s">
        <v>27</v>
      </c>
      <c r="Q37">
        <v>1</v>
      </c>
      <c r="R37" t="s">
        <v>27</v>
      </c>
      <c r="S37" t="s">
        <v>27</v>
      </c>
      <c r="T37" t="b">
        <f t="shared" si="0"/>
        <v>0</v>
      </c>
      <c r="U37" t="str">
        <f t="shared" si="1"/>
        <v>Employee_0036</v>
      </c>
      <c r="V37" t="str">
        <f t="shared" si="2"/>
        <v>Male</v>
      </c>
      <c r="W37" t="str">
        <f t="shared" si="3"/>
        <v>Finance</v>
      </c>
      <c r="X37" t="str">
        <f t="shared" si="4"/>
        <v>Noida</v>
      </c>
      <c r="Y37" t="str">
        <f t="shared" si="5"/>
        <v>Valid</v>
      </c>
      <c r="Z37" t="str">
        <f t="shared" si="6"/>
        <v>Valid</v>
      </c>
      <c r="AA37" t="str">
        <f t="shared" si="7"/>
        <v>Valid</v>
      </c>
      <c r="AB37" s="9" t="str">
        <f t="shared" si="8"/>
        <v>Valid</v>
      </c>
      <c r="AC37" s="9" t="str">
        <f t="shared" si="9"/>
        <v>Valid</v>
      </c>
      <c r="AD37" s="9" t="str">
        <f>IF(AND(Y37="Valid",Z37="Valid",AA37="Valid",AB37="Valid",COUNTIF($A$2:A37,A37)=1),"Include","Exclude")</f>
        <v>Include</v>
      </c>
    </row>
    <row r="38" spans="1:30" x14ac:dyDescent="0.35">
      <c r="A38" t="s">
        <v>119</v>
      </c>
      <c r="B38" t="s">
        <v>120</v>
      </c>
      <c r="C38" t="s">
        <v>31</v>
      </c>
      <c r="D38">
        <v>54</v>
      </c>
      <c r="E38" t="s">
        <v>55</v>
      </c>
      <c r="F38" t="s">
        <v>64</v>
      </c>
      <c r="G38" t="s">
        <v>24</v>
      </c>
      <c r="H38" t="s">
        <v>25</v>
      </c>
      <c r="I38">
        <v>26</v>
      </c>
      <c r="J38">
        <v>62585</v>
      </c>
      <c r="K38" t="s">
        <v>35</v>
      </c>
      <c r="L38">
        <v>8</v>
      </c>
      <c r="M38">
        <v>42</v>
      </c>
      <c r="N38">
        <v>3</v>
      </c>
      <c r="O38" t="s">
        <v>28</v>
      </c>
      <c r="P38" t="s">
        <v>27</v>
      </c>
      <c r="Q38">
        <v>1</v>
      </c>
      <c r="R38" t="s">
        <v>27</v>
      </c>
      <c r="S38" t="s">
        <v>27</v>
      </c>
      <c r="T38" t="b">
        <f t="shared" si="0"/>
        <v>0</v>
      </c>
      <c r="U38" t="str">
        <f t="shared" si="1"/>
        <v>Employee_0037</v>
      </c>
      <c r="V38" t="str">
        <f t="shared" si="2"/>
        <v>Male</v>
      </c>
      <c r="W38" t="str">
        <f t="shared" si="3"/>
        <v>Marketing</v>
      </c>
      <c r="X38" t="str">
        <f t="shared" si="4"/>
        <v>Hyderabad</v>
      </c>
      <c r="Y38" t="str">
        <f t="shared" si="5"/>
        <v>Valid</v>
      </c>
      <c r="Z38" t="str">
        <f t="shared" si="6"/>
        <v>Valid</v>
      </c>
      <c r="AA38" t="str">
        <f t="shared" si="7"/>
        <v>Valid</v>
      </c>
      <c r="AB38" s="9" t="str">
        <f t="shared" si="8"/>
        <v>Valid</v>
      </c>
      <c r="AC38" s="9" t="str">
        <f t="shared" si="9"/>
        <v>Valid</v>
      </c>
      <c r="AD38" s="9" t="str">
        <f>IF(AND(Y38="Valid",Z38="Valid",AA38="Valid",AB38="Valid",COUNTIF($A$2:A38,A38)=1),"Include","Exclude")</f>
        <v>Include</v>
      </c>
    </row>
    <row r="39" spans="1:30" x14ac:dyDescent="0.35">
      <c r="A39" t="s">
        <v>121</v>
      </c>
      <c r="B39" t="s">
        <v>122</v>
      </c>
      <c r="C39" t="s">
        <v>21</v>
      </c>
      <c r="D39">
        <v>53</v>
      </c>
      <c r="E39" t="s">
        <v>22</v>
      </c>
      <c r="F39" t="s">
        <v>39</v>
      </c>
      <c r="G39" t="s">
        <v>44</v>
      </c>
      <c r="H39" t="s">
        <v>61</v>
      </c>
      <c r="I39">
        <v>24</v>
      </c>
      <c r="J39">
        <v>52035</v>
      </c>
      <c r="K39" t="s">
        <v>40</v>
      </c>
      <c r="L39">
        <v>1</v>
      </c>
      <c r="M39">
        <v>17</v>
      </c>
      <c r="N39">
        <v>6</v>
      </c>
      <c r="O39" t="s">
        <v>27</v>
      </c>
      <c r="P39" t="s">
        <v>28</v>
      </c>
      <c r="Q39">
        <v>5</v>
      </c>
      <c r="R39" t="s">
        <v>27</v>
      </c>
      <c r="S39" t="s">
        <v>28</v>
      </c>
      <c r="T39" t="b">
        <f t="shared" si="0"/>
        <v>0</v>
      </c>
      <c r="U39" t="str">
        <f t="shared" si="1"/>
        <v>Employee_0038</v>
      </c>
      <c r="V39" t="str">
        <f t="shared" si="2"/>
        <v>Female</v>
      </c>
      <c r="W39" t="str">
        <f t="shared" si="3"/>
        <v>Operations</v>
      </c>
      <c r="X39" t="str">
        <f t="shared" si="4"/>
        <v>Noida</v>
      </c>
      <c r="Y39" t="str">
        <f t="shared" si="5"/>
        <v>Valid</v>
      </c>
      <c r="Z39" t="str">
        <f t="shared" si="6"/>
        <v>Valid</v>
      </c>
      <c r="AA39" t="str">
        <f t="shared" si="7"/>
        <v>Valid</v>
      </c>
      <c r="AB39" s="9" t="str">
        <f t="shared" si="8"/>
        <v>Valid</v>
      </c>
      <c r="AC39" s="9" t="str">
        <f t="shared" si="9"/>
        <v>Valid</v>
      </c>
      <c r="AD39" s="9" t="str">
        <f>IF(AND(Y39="Valid",Z39="Valid",AA39="Valid",AB39="Valid",COUNTIF($A$2:A39,A39)=1),"Include","Exclude")</f>
        <v>Include</v>
      </c>
    </row>
    <row r="40" spans="1:30" x14ac:dyDescent="0.35">
      <c r="A40" t="s">
        <v>123</v>
      </c>
      <c r="B40" t="s">
        <v>124</v>
      </c>
      <c r="C40" t="s">
        <v>31</v>
      </c>
      <c r="D40">
        <v>54</v>
      </c>
      <c r="E40" t="s">
        <v>55</v>
      </c>
      <c r="F40" t="s">
        <v>48</v>
      </c>
      <c r="G40" t="s">
        <v>24</v>
      </c>
      <c r="H40" t="s">
        <v>25</v>
      </c>
      <c r="I40">
        <v>22</v>
      </c>
      <c r="J40">
        <v>51695</v>
      </c>
      <c r="K40" t="s">
        <v>26</v>
      </c>
      <c r="L40">
        <v>4</v>
      </c>
      <c r="M40">
        <v>34</v>
      </c>
      <c r="N40">
        <v>6</v>
      </c>
      <c r="O40" t="s">
        <v>27</v>
      </c>
      <c r="P40" t="s">
        <v>27</v>
      </c>
      <c r="Q40">
        <v>3</v>
      </c>
      <c r="R40" t="s">
        <v>27</v>
      </c>
      <c r="S40" t="s">
        <v>27</v>
      </c>
      <c r="T40" t="b">
        <f t="shared" si="0"/>
        <v>0</v>
      </c>
      <c r="U40" t="str">
        <f t="shared" si="1"/>
        <v>Employee_0039</v>
      </c>
      <c r="V40" t="str">
        <f t="shared" si="2"/>
        <v>Male</v>
      </c>
      <c r="W40" t="str">
        <f t="shared" si="3"/>
        <v>Customer Support</v>
      </c>
      <c r="X40" t="str">
        <f t="shared" si="4"/>
        <v>Hyderabad</v>
      </c>
      <c r="Y40" t="str">
        <f t="shared" si="5"/>
        <v>Valid</v>
      </c>
      <c r="Z40" t="str">
        <f t="shared" si="6"/>
        <v>Valid</v>
      </c>
      <c r="AA40" t="str">
        <f t="shared" si="7"/>
        <v>Valid</v>
      </c>
      <c r="AB40" s="9" t="str">
        <f t="shared" si="8"/>
        <v>Valid</v>
      </c>
      <c r="AC40" s="9" t="str">
        <f t="shared" si="9"/>
        <v>Valid</v>
      </c>
      <c r="AD40" s="9" t="str">
        <f>IF(AND(Y40="Valid",Z40="Valid",AA40="Valid",AB40="Valid",COUNTIF($A$2:A40,A40)=1),"Include","Exclude")</f>
        <v>Include</v>
      </c>
    </row>
    <row r="41" spans="1:30" x14ac:dyDescent="0.35">
      <c r="A41" t="s">
        <v>125</v>
      </c>
      <c r="B41" t="s">
        <v>126</v>
      </c>
      <c r="C41" t="s">
        <v>31</v>
      </c>
      <c r="D41">
        <v>54</v>
      </c>
      <c r="E41" t="s">
        <v>22</v>
      </c>
      <c r="F41" t="s">
        <v>39</v>
      </c>
      <c r="G41" t="s">
        <v>69</v>
      </c>
      <c r="H41" t="s">
        <v>61</v>
      </c>
      <c r="I41">
        <v>12</v>
      </c>
      <c r="J41">
        <v>45204</v>
      </c>
      <c r="K41" t="s">
        <v>35</v>
      </c>
      <c r="L41">
        <v>2</v>
      </c>
      <c r="M41">
        <v>20</v>
      </c>
      <c r="N41">
        <v>1</v>
      </c>
      <c r="O41" t="s">
        <v>27</v>
      </c>
      <c r="P41" t="s">
        <v>28</v>
      </c>
      <c r="Q41">
        <v>3</v>
      </c>
      <c r="R41" t="s">
        <v>27</v>
      </c>
      <c r="S41" t="s">
        <v>27</v>
      </c>
      <c r="T41" t="b">
        <f t="shared" si="0"/>
        <v>0</v>
      </c>
      <c r="U41" t="str">
        <f t="shared" si="1"/>
        <v>Employee_0040</v>
      </c>
      <c r="V41" t="str">
        <f t="shared" si="2"/>
        <v>Male</v>
      </c>
      <c r="W41" t="str">
        <f t="shared" si="3"/>
        <v>Operations</v>
      </c>
      <c r="X41" t="str">
        <f t="shared" si="4"/>
        <v>Noida</v>
      </c>
      <c r="Y41" t="str">
        <f t="shared" si="5"/>
        <v>Valid</v>
      </c>
      <c r="Z41" t="str">
        <f t="shared" si="6"/>
        <v>Valid</v>
      </c>
      <c r="AA41" t="str">
        <f t="shared" si="7"/>
        <v>Valid</v>
      </c>
      <c r="AB41" s="9" t="str">
        <f t="shared" si="8"/>
        <v>Valid</v>
      </c>
      <c r="AC41" s="9" t="str">
        <f t="shared" si="9"/>
        <v>Valid</v>
      </c>
      <c r="AD41" s="9" t="str">
        <f>IF(AND(Y41="Valid",Z41="Valid",AA41="Valid",AB41="Valid",COUNTIF($A$2:A41,A41)=1),"Include","Exclude")</f>
        <v>Include</v>
      </c>
    </row>
    <row r="42" spans="1:30" x14ac:dyDescent="0.35">
      <c r="A42" t="s">
        <v>127</v>
      </c>
      <c r="B42" t="s">
        <v>128</v>
      </c>
      <c r="C42" t="s">
        <v>31</v>
      </c>
      <c r="D42">
        <v>53</v>
      </c>
      <c r="E42" t="s">
        <v>38</v>
      </c>
      <c r="F42" t="s">
        <v>60</v>
      </c>
      <c r="G42" t="s">
        <v>69</v>
      </c>
      <c r="H42" t="s">
        <v>70</v>
      </c>
      <c r="I42">
        <v>17</v>
      </c>
      <c r="J42">
        <v>74139</v>
      </c>
      <c r="K42" t="s">
        <v>26</v>
      </c>
      <c r="L42">
        <v>4</v>
      </c>
      <c r="M42">
        <v>55</v>
      </c>
      <c r="N42">
        <v>6</v>
      </c>
      <c r="O42" t="s">
        <v>27</v>
      </c>
      <c r="P42" t="s">
        <v>28</v>
      </c>
      <c r="Q42">
        <v>4</v>
      </c>
      <c r="R42" t="s">
        <v>27</v>
      </c>
      <c r="S42" t="s">
        <v>27</v>
      </c>
      <c r="T42" t="b">
        <f t="shared" si="0"/>
        <v>0</v>
      </c>
      <c r="U42" t="str">
        <f t="shared" si="1"/>
        <v>Employee_0041</v>
      </c>
      <c r="V42" t="str">
        <f t="shared" si="2"/>
        <v>Male</v>
      </c>
      <c r="W42" t="str">
        <f t="shared" si="3"/>
        <v>Hr</v>
      </c>
      <c r="X42" t="str">
        <f t="shared" si="4"/>
        <v>Bangalore</v>
      </c>
      <c r="Y42" t="str">
        <f t="shared" si="5"/>
        <v>Valid</v>
      </c>
      <c r="Z42" t="str">
        <f t="shared" si="6"/>
        <v>Valid</v>
      </c>
      <c r="AA42" t="str">
        <f t="shared" si="7"/>
        <v>Valid</v>
      </c>
      <c r="AB42" s="9" t="str">
        <f t="shared" si="8"/>
        <v>Valid</v>
      </c>
      <c r="AC42" s="9" t="str">
        <f t="shared" si="9"/>
        <v>Valid</v>
      </c>
      <c r="AD42" s="9" t="str">
        <f>IF(AND(Y42="Valid",Z42="Valid",AA42="Valid",AB42="Valid",COUNTIF($A$2:A42,A42)=1),"Include","Exclude")</f>
        <v>Include</v>
      </c>
    </row>
    <row r="43" spans="1:30" x14ac:dyDescent="0.35">
      <c r="A43" t="s">
        <v>129</v>
      </c>
      <c r="B43" t="s">
        <v>130</v>
      </c>
      <c r="C43" t="s">
        <v>21</v>
      </c>
      <c r="D43">
        <v>23</v>
      </c>
      <c r="E43" t="s">
        <v>22</v>
      </c>
      <c r="F43" t="s">
        <v>43</v>
      </c>
      <c r="G43" t="s">
        <v>24</v>
      </c>
      <c r="H43" t="s">
        <v>131</v>
      </c>
      <c r="I43">
        <v>2</v>
      </c>
      <c r="J43">
        <v>66494</v>
      </c>
      <c r="K43" t="s">
        <v>35</v>
      </c>
      <c r="L43">
        <v>10</v>
      </c>
      <c r="M43">
        <v>16</v>
      </c>
      <c r="N43">
        <v>4</v>
      </c>
      <c r="O43" t="s">
        <v>27</v>
      </c>
      <c r="P43" t="s">
        <v>28</v>
      </c>
      <c r="Q43">
        <v>4</v>
      </c>
      <c r="R43" t="s">
        <v>28</v>
      </c>
      <c r="S43" t="s">
        <v>27</v>
      </c>
      <c r="T43" t="b">
        <f t="shared" si="0"/>
        <v>0</v>
      </c>
      <c r="U43" t="str">
        <f t="shared" si="1"/>
        <v>Employee_0042</v>
      </c>
      <c r="V43" t="str">
        <f t="shared" si="2"/>
        <v>Female</v>
      </c>
      <c r="W43" t="str">
        <f t="shared" si="3"/>
        <v>It</v>
      </c>
      <c r="X43" t="str">
        <f t="shared" si="4"/>
        <v>Pune</v>
      </c>
      <c r="Y43" t="str">
        <f t="shared" si="5"/>
        <v>Valid</v>
      </c>
      <c r="Z43" t="str">
        <f t="shared" si="6"/>
        <v>Valid</v>
      </c>
      <c r="AA43" t="str">
        <f t="shared" si="7"/>
        <v>Valid</v>
      </c>
      <c r="AB43" s="9" t="str">
        <f t="shared" si="8"/>
        <v>Valid</v>
      </c>
      <c r="AC43" s="9" t="str">
        <f t="shared" si="9"/>
        <v>Valid</v>
      </c>
      <c r="AD43" s="9" t="str">
        <f>IF(AND(Y43="Valid",Z43="Valid",AA43="Valid",AB43="Valid",COUNTIF($A$2:A43,A43)=1),"Include","Exclude")</f>
        <v>Include</v>
      </c>
    </row>
    <row r="44" spans="1:30" x14ac:dyDescent="0.35">
      <c r="A44" t="s">
        <v>132</v>
      </c>
      <c r="B44" t="s">
        <v>133</v>
      </c>
      <c r="C44" t="s">
        <v>31</v>
      </c>
      <c r="D44">
        <v>27</v>
      </c>
      <c r="E44" t="s">
        <v>55</v>
      </c>
      <c r="F44" t="s">
        <v>33</v>
      </c>
      <c r="G44" t="s">
        <v>44</v>
      </c>
      <c r="H44" t="s">
        <v>70</v>
      </c>
      <c r="I44">
        <v>2</v>
      </c>
      <c r="J44">
        <v>52478</v>
      </c>
      <c r="K44" t="s">
        <v>45</v>
      </c>
      <c r="L44">
        <v>4</v>
      </c>
      <c r="M44">
        <v>21</v>
      </c>
      <c r="N44">
        <v>3</v>
      </c>
      <c r="O44" t="s">
        <v>27</v>
      </c>
      <c r="P44" t="s">
        <v>28</v>
      </c>
      <c r="Q44">
        <v>1</v>
      </c>
      <c r="R44" t="s">
        <v>27</v>
      </c>
      <c r="S44" t="s">
        <v>27</v>
      </c>
      <c r="T44" t="b">
        <f t="shared" si="0"/>
        <v>0</v>
      </c>
      <c r="U44" t="str">
        <f t="shared" si="1"/>
        <v>Employee_0043</v>
      </c>
      <c r="V44" t="str">
        <f t="shared" si="2"/>
        <v>Male</v>
      </c>
      <c r="W44" t="str">
        <f t="shared" si="3"/>
        <v>Sales</v>
      </c>
      <c r="X44" t="str">
        <f t="shared" si="4"/>
        <v>Bangalore</v>
      </c>
      <c r="Y44" t="str">
        <f t="shared" si="5"/>
        <v>Valid</v>
      </c>
      <c r="Z44" t="str">
        <f t="shared" si="6"/>
        <v>Valid</v>
      </c>
      <c r="AA44" t="str">
        <f t="shared" si="7"/>
        <v>Valid</v>
      </c>
      <c r="AB44" s="9" t="str">
        <f t="shared" si="8"/>
        <v>Valid</v>
      </c>
      <c r="AC44" s="9" t="str">
        <f t="shared" si="9"/>
        <v>Valid</v>
      </c>
      <c r="AD44" s="9" t="str">
        <f>IF(AND(Y44="Valid",Z44="Valid",AA44="Valid",AB44="Valid",COUNTIF($A$2:A44,A44)=1),"Include","Exclude")</f>
        <v>Include</v>
      </c>
    </row>
    <row r="45" spans="1:30" x14ac:dyDescent="0.35">
      <c r="A45" t="s">
        <v>134</v>
      </c>
      <c r="B45" t="s">
        <v>135</v>
      </c>
      <c r="C45" t="s">
        <v>21</v>
      </c>
      <c r="D45">
        <v>37</v>
      </c>
      <c r="E45" t="s">
        <v>55</v>
      </c>
      <c r="F45" t="s">
        <v>48</v>
      </c>
      <c r="G45" t="s">
        <v>24</v>
      </c>
      <c r="H45" t="s">
        <v>131</v>
      </c>
      <c r="I45">
        <v>11</v>
      </c>
      <c r="J45">
        <v>49861</v>
      </c>
      <c r="K45" t="s">
        <v>26</v>
      </c>
      <c r="L45">
        <v>8</v>
      </c>
      <c r="M45">
        <v>26</v>
      </c>
      <c r="N45">
        <v>5</v>
      </c>
      <c r="O45" t="s">
        <v>27</v>
      </c>
      <c r="P45" t="s">
        <v>28</v>
      </c>
      <c r="Q45">
        <v>2</v>
      </c>
      <c r="R45" t="s">
        <v>27</v>
      </c>
      <c r="S45" t="s">
        <v>27</v>
      </c>
      <c r="T45" t="b">
        <f t="shared" si="0"/>
        <v>0</v>
      </c>
      <c r="U45" t="str">
        <f t="shared" si="1"/>
        <v>Employee_0044</v>
      </c>
      <c r="V45" t="str">
        <f t="shared" si="2"/>
        <v>Female</v>
      </c>
      <c r="W45" t="str">
        <f t="shared" si="3"/>
        <v>Customer Support</v>
      </c>
      <c r="X45" t="str">
        <f t="shared" si="4"/>
        <v>Pune</v>
      </c>
      <c r="Y45" t="str">
        <f t="shared" si="5"/>
        <v>Valid</v>
      </c>
      <c r="Z45" t="str">
        <f t="shared" si="6"/>
        <v>Valid</v>
      </c>
      <c r="AA45" t="str">
        <f t="shared" si="7"/>
        <v>Valid</v>
      </c>
      <c r="AB45" s="9" t="str">
        <f t="shared" si="8"/>
        <v>Valid</v>
      </c>
      <c r="AC45" s="9" t="str">
        <f t="shared" si="9"/>
        <v>Valid</v>
      </c>
      <c r="AD45" s="9" t="str">
        <f>IF(AND(Y45="Valid",Z45="Valid",AA45="Valid",AB45="Valid",COUNTIF($A$2:A45,A45)=1),"Include","Exclude")</f>
        <v>Include</v>
      </c>
    </row>
    <row r="46" spans="1:30" x14ac:dyDescent="0.35">
      <c r="A46" t="s">
        <v>136</v>
      </c>
      <c r="B46" t="s">
        <v>137</v>
      </c>
      <c r="C46" t="s">
        <v>21</v>
      </c>
      <c r="D46">
        <v>21</v>
      </c>
      <c r="E46" t="s">
        <v>55</v>
      </c>
      <c r="F46" t="s">
        <v>33</v>
      </c>
      <c r="G46" t="s">
        <v>24</v>
      </c>
      <c r="H46" t="s">
        <v>25</v>
      </c>
      <c r="I46">
        <v>0</v>
      </c>
      <c r="J46">
        <v>63759</v>
      </c>
      <c r="K46" t="s">
        <v>45</v>
      </c>
      <c r="L46">
        <v>6</v>
      </c>
      <c r="M46">
        <v>26</v>
      </c>
      <c r="N46">
        <v>1</v>
      </c>
      <c r="O46" t="s">
        <v>28</v>
      </c>
      <c r="P46" t="s">
        <v>27</v>
      </c>
      <c r="Q46">
        <v>4</v>
      </c>
      <c r="R46" t="s">
        <v>27</v>
      </c>
      <c r="S46" t="s">
        <v>27</v>
      </c>
      <c r="T46" t="b">
        <f t="shared" si="0"/>
        <v>0</v>
      </c>
      <c r="U46" t="str">
        <f t="shared" si="1"/>
        <v>Employee_0045</v>
      </c>
      <c r="V46" t="str">
        <f t="shared" si="2"/>
        <v>Female</v>
      </c>
      <c r="W46" t="str">
        <f t="shared" si="3"/>
        <v>Sales</v>
      </c>
      <c r="X46" t="str">
        <f t="shared" si="4"/>
        <v>Hyderabad</v>
      </c>
      <c r="Y46" t="str">
        <f t="shared" si="5"/>
        <v>Valid</v>
      </c>
      <c r="Z46" t="str">
        <f t="shared" si="6"/>
        <v>Valid</v>
      </c>
      <c r="AA46" t="str">
        <f t="shared" si="7"/>
        <v>Valid</v>
      </c>
      <c r="AB46" s="9" t="str">
        <f t="shared" si="8"/>
        <v>Valid</v>
      </c>
      <c r="AC46" s="9" t="str">
        <f t="shared" si="9"/>
        <v>Valid</v>
      </c>
      <c r="AD46" s="9" t="str">
        <f>IF(AND(Y46="Valid",Z46="Valid",AA46="Valid",AB46="Valid",COUNTIF($A$2:A46,A46)=1),"Include","Exclude")</f>
        <v>Include</v>
      </c>
    </row>
    <row r="47" spans="1:30" x14ac:dyDescent="0.35">
      <c r="A47" t="s">
        <v>138</v>
      </c>
      <c r="B47" t="s">
        <v>139</v>
      </c>
      <c r="C47" t="s">
        <v>31</v>
      </c>
      <c r="D47">
        <v>53</v>
      </c>
      <c r="E47" t="s">
        <v>55</v>
      </c>
      <c r="F47" t="s">
        <v>60</v>
      </c>
      <c r="G47" t="s">
        <v>24</v>
      </c>
      <c r="H47" t="s">
        <v>34</v>
      </c>
      <c r="I47">
        <v>26</v>
      </c>
      <c r="J47">
        <v>68736</v>
      </c>
      <c r="K47" t="s">
        <v>45</v>
      </c>
      <c r="L47">
        <v>10</v>
      </c>
      <c r="M47">
        <v>28</v>
      </c>
      <c r="N47">
        <v>6</v>
      </c>
      <c r="O47" t="s">
        <v>28</v>
      </c>
      <c r="P47" t="s">
        <v>28</v>
      </c>
      <c r="Q47">
        <v>3</v>
      </c>
      <c r="R47" t="s">
        <v>27</v>
      </c>
      <c r="S47" t="s">
        <v>27</v>
      </c>
      <c r="T47" t="b">
        <f t="shared" si="0"/>
        <v>0</v>
      </c>
      <c r="U47" t="str">
        <f t="shared" si="1"/>
        <v>Employee_0046</v>
      </c>
      <c r="V47" t="str">
        <f t="shared" si="2"/>
        <v>Male</v>
      </c>
      <c r="W47" t="str">
        <f t="shared" si="3"/>
        <v>Hr</v>
      </c>
      <c r="X47" t="str">
        <f t="shared" si="4"/>
        <v>Gurgaon</v>
      </c>
      <c r="Y47" t="str">
        <f t="shared" si="5"/>
        <v>Valid</v>
      </c>
      <c r="Z47" t="str">
        <f t="shared" si="6"/>
        <v>Valid</v>
      </c>
      <c r="AA47" t="str">
        <f t="shared" si="7"/>
        <v>Valid</v>
      </c>
      <c r="AB47" s="9" t="str">
        <f t="shared" si="8"/>
        <v>Valid</v>
      </c>
      <c r="AC47" s="9" t="str">
        <f t="shared" si="9"/>
        <v>Valid</v>
      </c>
      <c r="AD47" s="9" t="str">
        <f>IF(AND(Y47="Valid",Z47="Valid",AA47="Valid",AB47="Valid",COUNTIF($A$2:A47,A47)=1),"Include","Exclude")</f>
        <v>Include</v>
      </c>
    </row>
    <row r="48" spans="1:30" x14ac:dyDescent="0.35">
      <c r="A48" t="s">
        <v>140</v>
      </c>
      <c r="B48" t="s">
        <v>141</v>
      </c>
      <c r="C48" t="s">
        <v>31</v>
      </c>
      <c r="D48">
        <v>21</v>
      </c>
      <c r="E48" t="s">
        <v>55</v>
      </c>
      <c r="F48" t="s">
        <v>23</v>
      </c>
      <c r="G48" t="s">
        <v>24</v>
      </c>
      <c r="H48" t="s">
        <v>25</v>
      </c>
      <c r="I48">
        <v>0</v>
      </c>
      <c r="J48">
        <v>65158</v>
      </c>
      <c r="K48" t="s">
        <v>45</v>
      </c>
      <c r="L48">
        <v>8</v>
      </c>
      <c r="M48">
        <v>20</v>
      </c>
      <c r="N48">
        <v>3</v>
      </c>
      <c r="O48" t="s">
        <v>28</v>
      </c>
      <c r="P48" t="s">
        <v>28</v>
      </c>
      <c r="Q48">
        <v>3</v>
      </c>
      <c r="R48" t="s">
        <v>27</v>
      </c>
      <c r="S48" t="s">
        <v>27</v>
      </c>
      <c r="T48" t="b">
        <f t="shared" si="0"/>
        <v>0</v>
      </c>
      <c r="U48" t="str">
        <f t="shared" si="1"/>
        <v>Employee_0047</v>
      </c>
      <c r="V48" t="str">
        <f t="shared" si="2"/>
        <v>Male</v>
      </c>
      <c r="W48" t="str">
        <f t="shared" si="3"/>
        <v>Finance</v>
      </c>
      <c r="X48" t="str">
        <f t="shared" si="4"/>
        <v>Hyderabad</v>
      </c>
      <c r="Y48" t="str">
        <f t="shared" si="5"/>
        <v>Valid</v>
      </c>
      <c r="Z48" t="str">
        <f t="shared" si="6"/>
        <v>Valid</v>
      </c>
      <c r="AA48" t="str">
        <f t="shared" si="7"/>
        <v>Valid</v>
      </c>
      <c r="AB48" s="9" t="str">
        <f t="shared" si="8"/>
        <v>Valid</v>
      </c>
      <c r="AC48" s="9" t="str">
        <f t="shared" si="9"/>
        <v>Valid</v>
      </c>
      <c r="AD48" s="9" t="str">
        <f>IF(AND(Y48="Valid",Z48="Valid",AA48="Valid",AB48="Valid",COUNTIF($A$2:A48,A48)=1),"Include","Exclude")</f>
        <v>Include</v>
      </c>
    </row>
    <row r="49" spans="1:30" x14ac:dyDescent="0.35">
      <c r="A49" t="s">
        <v>142</v>
      </c>
      <c r="B49" t="s">
        <v>143</v>
      </c>
      <c r="C49" t="s">
        <v>21</v>
      </c>
      <c r="D49">
        <v>49</v>
      </c>
      <c r="E49" t="s">
        <v>55</v>
      </c>
      <c r="F49" t="s">
        <v>43</v>
      </c>
      <c r="G49" t="s">
        <v>24</v>
      </c>
      <c r="H49" t="s">
        <v>52</v>
      </c>
      <c r="I49">
        <v>22</v>
      </c>
      <c r="J49">
        <v>82000</v>
      </c>
      <c r="K49" t="s">
        <v>35</v>
      </c>
      <c r="L49">
        <v>5</v>
      </c>
      <c r="M49">
        <v>43</v>
      </c>
      <c r="N49">
        <v>8</v>
      </c>
      <c r="O49" t="s">
        <v>27</v>
      </c>
      <c r="P49" t="s">
        <v>27</v>
      </c>
      <c r="Q49">
        <v>1</v>
      </c>
      <c r="R49" t="s">
        <v>27</v>
      </c>
      <c r="S49" t="s">
        <v>27</v>
      </c>
      <c r="T49" t="b">
        <f t="shared" si="0"/>
        <v>0</v>
      </c>
      <c r="U49" t="str">
        <f t="shared" si="1"/>
        <v>Employee_0048</v>
      </c>
      <c r="V49" t="str">
        <f t="shared" si="2"/>
        <v>Female</v>
      </c>
      <c r="W49" t="str">
        <f t="shared" si="3"/>
        <v>It</v>
      </c>
      <c r="X49" t="str">
        <f t="shared" si="4"/>
        <v>Mumbai</v>
      </c>
      <c r="Y49" t="str">
        <f t="shared" si="5"/>
        <v>Valid</v>
      </c>
      <c r="Z49" t="str">
        <f t="shared" si="6"/>
        <v>Valid</v>
      </c>
      <c r="AA49" t="str">
        <f t="shared" si="7"/>
        <v>Valid</v>
      </c>
      <c r="AB49" s="9" t="str">
        <f t="shared" si="8"/>
        <v>Valid</v>
      </c>
      <c r="AC49" s="9" t="str">
        <f t="shared" si="9"/>
        <v>Valid</v>
      </c>
      <c r="AD49" s="9" t="str">
        <f>IF(AND(Y49="Valid",Z49="Valid",AA49="Valid",AB49="Valid",COUNTIF($A$2:A49,A49)=1),"Include","Exclude")</f>
        <v>Include</v>
      </c>
    </row>
    <row r="50" spans="1:30" x14ac:dyDescent="0.35">
      <c r="A50" t="s">
        <v>144</v>
      </c>
      <c r="B50" t="s">
        <v>145</v>
      </c>
      <c r="C50" t="s">
        <v>21</v>
      </c>
      <c r="D50">
        <v>32</v>
      </c>
      <c r="E50" t="s">
        <v>55</v>
      </c>
      <c r="F50" t="s">
        <v>43</v>
      </c>
      <c r="G50" t="s">
        <v>69</v>
      </c>
      <c r="H50" t="s">
        <v>131</v>
      </c>
      <c r="I50">
        <v>8</v>
      </c>
      <c r="J50">
        <v>61393</v>
      </c>
      <c r="K50" t="s">
        <v>45</v>
      </c>
      <c r="L50">
        <v>2</v>
      </c>
      <c r="M50">
        <v>11</v>
      </c>
      <c r="N50">
        <v>5</v>
      </c>
      <c r="O50" t="s">
        <v>28</v>
      </c>
      <c r="P50" t="s">
        <v>28</v>
      </c>
      <c r="Q50">
        <v>5</v>
      </c>
      <c r="R50" t="s">
        <v>27</v>
      </c>
      <c r="S50" t="s">
        <v>27</v>
      </c>
      <c r="T50" t="b">
        <f t="shared" si="0"/>
        <v>0</v>
      </c>
      <c r="U50" t="str">
        <f t="shared" si="1"/>
        <v>Employee_0049</v>
      </c>
      <c r="V50" t="str">
        <f t="shared" si="2"/>
        <v>Female</v>
      </c>
      <c r="W50" t="str">
        <f t="shared" si="3"/>
        <v>It</v>
      </c>
      <c r="X50" t="str">
        <f t="shared" si="4"/>
        <v>Pune</v>
      </c>
      <c r="Y50" t="str">
        <f t="shared" si="5"/>
        <v>Valid</v>
      </c>
      <c r="Z50" t="str">
        <f t="shared" si="6"/>
        <v>Valid</v>
      </c>
      <c r="AA50" t="str">
        <f t="shared" si="7"/>
        <v>Valid</v>
      </c>
      <c r="AB50" s="9" t="str">
        <f t="shared" si="8"/>
        <v>Valid</v>
      </c>
      <c r="AC50" s="9" t="str">
        <f t="shared" si="9"/>
        <v>Valid</v>
      </c>
      <c r="AD50" s="9" t="str">
        <f>IF(AND(Y50="Valid",Z50="Valid",AA50="Valid",AB50="Valid",COUNTIF($A$2:A50,A50)=1),"Include","Exclude")</f>
        <v>Include</v>
      </c>
    </row>
    <row r="51" spans="1:30" x14ac:dyDescent="0.35">
      <c r="A51" t="s">
        <v>146</v>
      </c>
      <c r="B51" t="s">
        <v>147</v>
      </c>
      <c r="C51" t="s">
        <v>21</v>
      </c>
      <c r="D51">
        <v>38</v>
      </c>
      <c r="E51" t="s">
        <v>55</v>
      </c>
      <c r="F51" t="s">
        <v>48</v>
      </c>
      <c r="G51" t="s">
        <v>24</v>
      </c>
      <c r="H51" t="s">
        <v>131</v>
      </c>
      <c r="I51">
        <v>14</v>
      </c>
      <c r="J51">
        <v>43290</v>
      </c>
      <c r="K51" t="s">
        <v>40</v>
      </c>
      <c r="L51">
        <v>6</v>
      </c>
      <c r="M51">
        <v>18</v>
      </c>
      <c r="N51">
        <v>3</v>
      </c>
      <c r="O51" t="s">
        <v>27</v>
      </c>
      <c r="P51" t="s">
        <v>27</v>
      </c>
      <c r="Q51">
        <v>1</v>
      </c>
      <c r="R51" t="s">
        <v>28</v>
      </c>
      <c r="S51" t="s">
        <v>27</v>
      </c>
      <c r="T51" t="b">
        <f t="shared" si="0"/>
        <v>0</v>
      </c>
      <c r="U51" t="str">
        <f t="shared" si="1"/>
        <v>Employee_0050</v>
      </c>
      <c r="V51" t="str">
        <f t="shared" si="2"/>
        <v>Female</v>
      </c>
      <c r="W51" t="str">
        <f t="shared" si="3"/>
        <v>Customer Support</v>
      </c>
      <c r="X51" t="str">
        <f t="shared" si="4"/>
        <v>Pune</v>
      </c>
      <c r="Y51" t="str">
        <f t="shared" si="5"/>
        <v>Valid</v>
      </c>
      <c r="Z51" t="str">
        <f t="shared" si="6"/>
        <v>Valid</v>
      </c>
      <c r="AA51" t="str">
        <f t="shared" si="7"/>
        <v>Valid</v>
      </c>
      <c r="AB51" s="9" t="str">
        <f t="shared" si="8"/>
        <v>Valid</v>
      </c>
      <c r="AC51" s="9" t="str">
        <f t="shared" si="9"/>
        <v>Valid</v>
      </c>
      <c r="AD51" s="9" t="str">
        <f>IF(AND(Y51="Valid",Z51="Valid",AA51="Valid",AB51="Valid",COUNTIF($A$2:A51,A51)=1),"Include","Exclude")</f>
        <v>Include</v>
      </c>
    </row>
    <row r="52" spans="1:30" x14ac:dyDescent="0.35">
      <c r="A52" t="s">
        <v>148</v>
      </c>
      <c r="B52" t="s">
        <v>149</v>
      </c>
      <c r="C52" t="s">
        <v>31</v>
      </c>
      <c r="D52">
        <v>42</v>
      </c>
      <c r="E52" t="s">
        <v>55</v>
      </c>
      <c r="F52" t="s">
        <v>48</v>
      </c>
      <c r="G52" t="s">
        <v>24</v>
      </c>
      <c r="H52" t="s">
        <v>52</v>
      </c>
      <c r="I52">
        <v>9</v>
      </c>
      <c r="J52">
        <v>43441</v>
      </c>
      <c r="K52" t="s">
        <v>40</v>
      </c>
      <c r="L52">
        <v>3</v>
      </c>
      <c r="M52">
        <v>18</v>
      </c>
      <c r="N52">
        <v>5</v>
      </c>
      <c r="O52" t="s">
        <v>27</v>
      </c>
      <c r="P52" t="s">
        <v>27</v>
      </c>
      <c r="Q52">
        <v>3</v>
      </c>
      <c r="R52" t="s">
        <v>28</v>
      </c>
      <c r="S52" t="s">
        <v>27</v>
      </c>
      <c r="T52" t="b">
        <f t="shared" si="0"/>
        <v>1</v>
      </c>
      <c r="U52" t="str">
        <f t="shared" si="1"/>
        <v>Employee_0051</v>
      </c>
      <c r="V52" t="str">
        <f t="shared" si="2"/>
        <v>Male</v>
      </c>
      <c r="W52" t="str">
        <f t="shared" si="3"/>
        <v>Customer Support</v>
      </c>
      <c r="X52" t="str">
        <f t="shared" si="4"/>
        <v>Mumbai</v>
      </c>
      <c r="Y52" t="str">
        <f t="shared" si="5"/>
        <v>Valid</v>
      </c>
      <c r="Z52" t="str">
        <f t="shared" si="6"/>
        <v>Valid</v>
      </c>
      <c r="AA52" t="str">
        <f t="shared" si="7"/>
        <v>Valid</v>
      </c>
      <c r="AB52" s="9" t="str">
        <f t="shared" si="8"/>
        <v>Valid</v>
      </c>
      <c r="AC52" s="9" t="str">
        <f t="shared" si="9"/>
        <v>Check</v>
      </c>
      <c r="AD52" s="9" t="str">
        <f>IF(AND(Y52="Valid",Z52="Valid",AA52="Valid",AB52="Valid",COUNTIF($A$2:A52,A52)=1),"Include","Exclude")</f>
        <v>Include</v>
      </c>
    </row>
    <row r="53" spans="1:30" x14ac:dyDescent="0.35">
      <c r="A53" t="s">
        <v>150</v>
      </c>
      <c r="B53" t="s">
        <v>151</v>
      </c>
      <c r="C53" t="s">
        <v>31</v>
      </c>
      <c r="D53">
        <v>47</v>
      </c>
      <c r="E53" t="s">
        <v>38</v>
      </c>
      <c r="F53" t="s">
        <v>23</v>
      </c>
      <c r="G53" t="s">
        <v>24</v>
      </c>
      <c r="H53" t="s">
        <v>70</v>
      </c>
      <c r="I53">
        <v>18</v>
      </c>
      <c r="J53">
        <v>74705</v>
      </c>
      <c r="K53" t="s">
        <v>45</v>
      </c>
      <c r="L53">
        <v>6</v>
      </c>
      <c r="M53">
        <v>8</v>
      </c>
      <c r="N53">
        <v>4</v>
      </c>
      <c r="O53" t="s">
        <v>27</v>
      </c>
      <c r="P53" t="s">
        <v>28</v>
      </c>
      <c r="Q53">
        <v>2</v>
      </c>
      <c r="R53" t="s">
        <v>27</v>
      </c>
      <c r="S53" t="s">
        <v>27</v>
      </c>
      <c r="T53" t="b">
        <f t="shared" si="0"/>
        <v>0</v>
      </c>
      <c r="U53" t="str">
        <f t="shared" si="1"/>
        <v>Employee_0052</v>
      </c>
      <c r="V53" t="str">
        <f t="shared" si="2"/>
        <v>Male</v>
      </c>
      <c r="W53" t="str">
        <f t="shared" si="3"/>
        <v>Finance</v>
      </c>
      <c r="X53" t="str">
        <f t="shared" si="4"/>
        <v>Bangalore</v>
      </c>
      <c r="Y53" t="str">
        <f t="shared" si="5"/>
        <v>Valid</v>
      </c>
      <c r="Z53" t="str">
        <f t="shared" si="6"/>
        <v>Valid</v>
      </c>
      <c r="AA53" t="str">
        <f t="shared" si="7"/>
        <v>Valid</v>
      </c>
      <c r="AB53" s="9" t="str">
        <f t="shared" si="8"/>
        <v>Valid</v>
      </c>
      <c r="AC53" s="9" t="str">
        <f t="shared" si="9"/>
        <v>Valid</v>
      </c>
      <c r="AD53" s="9" t="str">
        <f>IF(AND(Y53="Valid",Z53="Valid",AA53="Valid",AB53="Valid",COUNTIF($A$2:A53,A53)=1),"Include","Exclude")</f>
        <v>Include</v>
      </c>
    </row>
    <row r="54" spans="1:30" x14ac:dyDescent="0.35">
      <c r="A54" t="s">
        <v>152</v>
      </c>
      <c r="B54" t="s">
        <v>153</v>
      </c>
      <c r="C54" t="s">
        <v>21</v>
      </c>
      <c r="D54">
        <v>33</v>
      </c>
      <c r="E54" t="s">
        <v>22</v>
      </c>
      <c r="F54" t="s">
        <v>39</v>
      </c>
      <c r="G54" t="s">
        <v>24</v>
      </c>
      <c r="H54" t="s">
        <v>131</v>
      </c>
      <c r="I54">
        <v>7</v>
      </c>
      <c r="J54">
        <v>53768</v>
      </c>
      <c r="K54" t="s">
        <v>35</v>
      </c>
      <c r="L54">
        <v>4</v>
      </c>
      <c r="M54">
        <v>26</v>
      </c>
      <c r="N54">
        <v>8</v>
      </c>
      <c r="O54" t="s">
        <v>28</v>
      </c>
      <c r="P54" t="s">
        <v>28</v>
      </c>
      <c r="Q54">
        <v>5</v>
      </c>
      <c r="R54" t="s">
        <v>27</v>
      </c>
      <c r="S54" t="s">
        <v>27</v>
      </c>
      <c r="T54" t="b">
        <f t="shared" si="0"/>
        <v>0</v>
      </c>
      <c r="U54" t="str">
        <f t="shared" si="1"/>
        <v>Employee_0053</v>
      </c>
      <c r="V54" t="str">
        <f t="shared" si="2"/>
        <v>Female</v>
      </c>
      <c r="W54" t="str">
        <f t="shared" si="3"/>
        <v>Operations</v>
      </c>
      <c r="X54" t="str">
        <f t="shared" si="4"/>
        <v>Pune</v>
      </c>
      <c r="Y54" t="str">
        <f t="shared" si="5"/>
        <v>Valid</v>
      </c>
      <c r="Z54" t="str">
        <f t="shared" si="6"/>
        <v>Valid</v>
      </c>
      <c r="AA54" t="str">
        <f t="shared" si="7"/>
        <v>Valid</v>
      </c>
      <c r="AB54" s="9" t="str">
        <f t="shared" si="8"/>
        <v>Valid</v>
      </c>
      <c r="AC54" s="9" t="str">
        <f t="shared" si="9"/>
        <v>Valid</v>
      </c>
      <c r="AD54" s="9" t="str">
        <f>IF(AND(Y54="Valid",Z54="Valid",AA54="Valid",AB54="Valid",COUNTIF($A$2:A54,A54)=1),"Include","Exclude")</f>
        <v>Include</v>
      </c>
    </row>
    <row r="55" spans="1:30" x14ac:dyDescent="0.35">
      <c r="A55" t="s">
        <v>154</v>
      </c>
      <c r="B55" t="s">
        <v>155</v>
      </c>
      <c r="C55" t="s">
        <v>31</v>
      </c>
      <c r="D55">
        <v>55</v>
      </c>
      <c r="E55" t="s">
        <v>22</v>
      </c>
      <c r="F55" t="s">
        <v>64</v>
      </c>
      <c r="G55" t="s">
        <v>24</v>
      </c>
      <c r="H55" t="s">
        <v>25</v>
      </c>
      <c r="I55">
        <v>16</v>
      </c>
      <c r="J55">
        <v>61913</v>
      </c>
      <c r="K55" t="s">
        <v>45</v>
      </c>
      <c r="L55">
        <v>10</v>
      </c>
      <c r="M55">
        <v>32</v>
      </c>
      <c r="N55">
        <v>3</v>
      </c>
      <c r="O55" t="s">
        <v>28</v>
      </c>
      <c r="P55" t="s">
        <v>28</v>
      </c>
      <c r="Q55">
        <v>3</v>
      </c>
      <c r="R55" t="s">
        <v>28</v>
      </c>
      <c r="S55" t="s">
        <v>27</v>
      </c>
      <c r="T55" t="b">
        <f t="shared" si="0"/>
        <v>0</v>
      </c>
      <c r="U55" t="str">
        <f t="shared" si="1"/>
        <v>Employee_0054</v>
      </c>
      <c r="V55" t="str">
        <f t="shared" si="2"/>
        <v>Male</v>
      </c>
      <c r="W55" t="str">
        <f t="shared" si="3"/>
        <v>Marketing</v>
      </c>
      <c r="X55" t="str">
        <f t="shared" si="4"/>
        <v>Hyderabad</v>
      </c>
      <c r="Y55" t="str">
        <f t="shared" si="5"/>
        <v>Valid</v>
      </c>
      <c r="Z55" t="str">
        <f t="shared" si="6"/>
        <v>Valid</v>
      </c>
      <c r="AA55" t="str">
        <f t="shared" si="7"/>
        <v>Valid</v>
      </c>
      <c r="AB55" s="9" t="str">
        <f t="shared" si="8"/>
        <v>Valid</v>
      </c>
      <c r="AC55" s="9" t="str">
        <f t="shared" si="9"/>
        <v>Valid</v>
      </c>
      <c r="AD55" s="9" t="str">
        <f>IF(AND(Y55="Valid",Z55="Valid",AA55="Valid",AB55="Valid",COUNTIF($A$2:A55,A55)=1),"Include","Exclude")</f>
        <v>Include</v>
      </c>
    </row>
    <row r="56" spans="1:30" x14ac:dyDescent="0.35">
      <c r="A56" t="s">
        <v>156</v>
      </c>
      <c r="B56" t="s">
        <v>157</v>
      </c>
      <c r="C56" t="s">
        <v>31</v>
      </c>
      <c r="D56">
        <v>26</v>
      </c>
      <c r="E56" t="s">
        <v>38</v>
      </c>
      <c r="F56" t="s">
        <v>39</v>
      </c>
      <c r="G56" t="s">
        <v>24</v>
      </c>
      <c r="H56" t="s">
        <v>52</v>
      </c>
      <c r="I56">
        <v>2</v>
      </c>
      <c r="J56">
        <v>47365</v>
      </c>
      <c r="K56" t="s">
        <v>35</v>
      </c>
      <c r="L56">
        <v>3</v>
      </c>
      <c r="M56">
        <v>24</v>
      </c>
      <c r="N56">
        <v>6</v>
      </c>
      <c r="O56" t="s">
        <v>28</v>
      </c>
      <c r="P56" t="s">
        <v>28</v>
      </c>
      <c r="Q56">
        <v>3</v>
      </c>
      <c r="R56" t="s">
        <v>27</v>
      </c>
      <c r="S56" t="s">
        <v>28</v>
      </c>
      <c r="T56" t="b">
        <f t="shared" si="0"/>
        <v>0</v>
      </c>
      <c r="U56" t="str">
        <f t="shared" si="1"/>
        <v>Employee_0055</v>
      </c>
      <c r="V56" t="str">
        <f t="shared" si="2"/>
        <v>Male</v>
      </c>
      <c r="W56" t="str">
        <f t="shared" si="3"/>
        <v>Operations</v>
      </c>
      <c r="X56" t="str">
        <f t="shared" si="4"/>
        <v>Mumbai</v>
      </c>
      <c r="Y56" t="str">
        <f t="shared" si="5"/>
        <v>Valid</v>
      </c>
      <c r="Z56" t="str">
        <f t="shared" si="6"/>
        <v>Valid</v>
      </c>
      <c r="AA56" t="str">
        <f t="shared" si="7"/>
        <v>Valid</v>
      </c>
      <c r="AB56" s="9" t="str">
        <f t="shared" si="8"/>
        <v>Valid</v>
      </c>
      <c r="AC56" s="9" t="str">
        <f t="shared" si="9"/>
        <v>Valid</v>
      </c>
      <c r="AD56" s="9" t="str">
        <f>IF(AND(Y56="Valid",Z56="Valid",AA56="Valid",AB56="Valid",COUNTIF($A$2:A56,A56)=1),"Include","Exclude")</f>
        <v>Include</v>
      </c>
    </row>
    <row r="57" spans="1:30" x14ac:dyDescent="0.35">
      <c r="A57" t="s">
        <v>158</v>
      </c>
      <c r="B57" t="s">
        <v>159</v>
      </c>
      <c r="C57" t="s">
        <v>21</v>
      </c>
      <c r="D57">
        <v>29</v>
      </c>
      <c r="E57" t="s">
        <v>22</v>
      </c>
      <c r="F57" t="s">
        <v>64</v>
      </c>
      <c r="G57" t="s">
        <v>69</v>
      </c>
      <c r="H57" t="s">
        <v>49</v>
      </c>
      <c r="I57">
        <v>3</v>
      </c>
      <c r="J57">
        <v>64131</v>
      </c>
      <c r="K57" t="s">
        <v>45</v>
      </c>
      <c r="L57">
        <v>3</v>
      </c>
      <c r="M57">
        <v>59</v>
      </c>
      <c r="N57">
        <v>0</v>
      </c>
      <c r="O57" t="s">
        <v>27</v>
      </c>
      <c r="P57" t="s">
        <v>27</v>
      </c>
      <c r="Q57">
        <v>1</v>
      </c>
      <c r="R57" t="s">
        <v>27</v>
      </c>
      <c r="S57" t="s">
        <v>27</v>
      </c>
      <c r="T57" t="b">
        <f t="shared" si="0"/>
        <v>0</v>
      </c>
      <c r="U57" t="str">
        <f t="shared" si="1"/>
        <v>Employee_0056</v>
      </c>
      <c r="V57" t="str">
        <f t="shared" si="2"/>
        <v>Female</v>
      </c>
      <c r="W57" t="str">
        <f t="shared" si="3"/>
        <v>Marketing</v>
      </c>
      <c r="X57" t="str">
        <f t="shared" si="4"/>
        <v>Delhi</v>
      </c>
      <c r="Y57" t="str">
        <f t="shared" si="5"/>
        <v>Valid</v>
      </c>
      <c r="Z57" t="str">
        <f t="shared" si="6"/>
        <v>Valid</v>
      </c>
      <c r="AA57" t="str">
        <f t="shared" si="7"/>
        <v>Valid</v>
      </c>
      <c r="AB57" s="9" t="str">
        <f t="shared" si="8"/>
        <v>Valid</v>
      </c>
      <c r="AC57" s="9" t="str">
        <f t="shared" si="9"/>
        <v>Valid</v>
      </c>
      <c r="AD57" s="9" t="str">
        <f>IF(AND(Y57="Valid",Z57="Valid",AA57="Valid",AB57="Valid",COUNTIF($A$2:A57,A57)=1),"Include","Exclude")</f>
        <v>Include</v>
      </c>
    </row>
    <row r="58" spans="1:30" x14ac:dyDescent="0.35">
      <c r="A58" t="s">
        <v>160</v>
      </c>
      <c r="B58" t="s">
        <v>161</v>
      </c>
      <c r="C58" t="s">
        <v>31</v>
      </c>
      <c r="D58">
        <v>39</v>
      </c>
      <c r="E58" t="s">
        <v>55</v>
      </c>
      <c r="F58" t="s">
        <v>39</v>
      </c>
      <c r="G58" t="s">
        <v>24</v>
      </c>
      <c r="H58" t="s">
        <v>49</v>
      </c>
      <c r="I58">
        <v>7</v>
      </c>
      <c r="J58">
        <v>57399</v>
      </c>
      <c r="K58" t="s">
        <v>45</v>
      </c>
      <c r="L58">
        <v>8</v>
      </c>
      <c r="M58">
        <v>26</v>
      </c>
      <c r="N58">
        <v>2</v>
      </c>
      <c r="O58" t="s">
        <v>27</v>
      </c>
      <c r="P58" t="s">
        <v>28</v>
      </c>
      <c r="Q58">
        <v>1</v>
      </c>
      <c r="R58" t="s">
        <v>27</v>
      </c>
      <c r="S58" t="s">
        <v>27</v>
      </c>
      <c r="T58" t="b">
        <f t="shared" si="0"/>
        <v>0</v>
      </c>
      <c r="U58" t="str">
        <f t="shared" si="1"/>
        <v>Employee_0057</v>
      </c>
      <c r="V58" t="str">
        <f t="shared" si="2"/>
        <v>Male</v>
      </c>
      <c r="W58" t="str">
        <f t="shared" si="3"/>
        <v>Operations</v>
      </c>
      <c r="X58" t="str">
        <f t="shared" si="4"/>
        <v>Delhi</v>
      </c>
      <c r="Y58" t="str">
        <f t="shared" si="5"/>
        <v>Valid</v>
      </c>
      <c r="Z58" t="str">
        <f t="shared" si="6"/>
        <v>Valid</v>
      </c>
      <c r="AA58" t="str">
        <f t="shared" si="7"/>
        <v>Valid</v>
      </c>
      <c r="AB58" s="9" t="str">
        <f t="shared" si="8"/>
        <v>Valid</v>
      </c>
      <c r="AC58" s="9" t="str">
        <f t="shared" si="9"/>
        <v>Valid</v>
      </c>
      <c r="AD58" s="9" t="str">
        <f>IF(AND(Y58="Valid",Z58="Valid",AA58="Valid",AB58="Valid",COUNTIF($A$2:A58,A58)=1),"Include","Exclude")</f>
        <v>Include</v>
      </c>
    </row>
    <row r="59" spans="1:30" x14ac:dyDescent="0.35">
      <c r="A59" t="s">
        <v>162</v>
      </c>
      <c r="B59" t="s">
        <v>163</v>
      </c>
      <c r="C59" t="s">
        <v>31</v>
      </c>
      <c r="D59">
        <v>27</v>
      </c>
      <c r="E59" t="s">
        <v>55</v>
      </c>
      <c r="F59" t="s">
        <v>43</v>
      </c>
      <c r="G59" t="s">
        <v>69</v>
      </c>
      <c r="H59" t="s">
        <v>131</v>
      </c>
      <c r="I59">
        <v>3</v>
      </c>
      <c r="J59">
        <v>65595</v>
      </c>
      <c r="K59" t="s">
        <v>26</v>
      </c>
      <c r="L59">
        <v>2</v>
      </c>
      <c r="M59">
        <v>24</v>
      </c>
      <c r="N59">
        <v>4</v>
      </c>
      <c r="O59" t="s">
        <v>27</v>
      </c>
      <c r="P59" t="s">
        <v>28</v>
      </c>
      <c r="Q59">
        <v>4</v>
      </c>
      <c r="R59" t="s">
        <v>27</v>
      </c>
      <c r="S59" t="s">
        <v>27</v>
      </c>
      <c r="T59" t="b">
        <f t="shared" si="0"/>
        <v>0</v>
      </c>
      <c r="U59" t="str">
        <f t="shared" si="1"/>
        <v>Employee_0058</v>
      </c>
      <c r="V59" t="str">
        <f t="shared" si="2"/>
        <v>Male</v>
      </c>
      <c r="W59" t="str">
        <f t="shared" si="3"/>
        <v>It</v>
      </c>
      <c r="X59" t="str">
        <f t="shared" si="4"/>
        <v>Pune</v>
      </c>
      <c r="Y59" t="str">
        <f t="shared" si="5"/>
        <v>Valid</v>
      </c>
      <c r="Z59" t="str">
        <f t="shared" si="6"/>
        <v>Valid</v>
      </c>
      <c r="AA59" t="str">
        <f t="shared" si="7"/>
        <v>Valid</v>
      </c>
      <c r="AB59" s="9" t="str">
        <f t="shared" si="8"/>
        <v>Valid</v>
      </c>
      <c r="AC59" s="9" t="str">
        <f t="shared" si="9"/>
        <v>Valid</v>
      </c>
      <c r="AD59" s="9" t="str">
        <f>IF(AND(Y59="Valid",Z59="Valid",AA59="Valid",AB59="Valid",COUNTIF($A$2:A59,A59)=1),"Include","Exclude")</f>
        <v>Include</v>
      </c>
    </row>
    <row r="60" spans="1:30" x14ac:dyDescent="0.35">
      <c r="A60" t="s">
        <v>164</v>
      </c>
      <c r="B60" t="s">
        <v>165</v>
      </c>
      <c r="C60" t="s">
        <v>31</v>
      </c>
      <c r="D60">
        <v>36</v>
      </c>
      <c r="E60" t="s">
        <v>22</v>
      </c>
      <c r="F60" t="s">
        <v>39</v>
      </c>
      <c r="G60" t="s">
        <v>69</v>
      </c>
      <c r="H60" t="s">
        <v>70</v>
      </c>
      <c r="I60">
        <v>13</v>
      </c>
      <c r="J60">
        <v>58297</v>
      </c>
      <c r="K60" t="s">
        <v>45</v>
      </c>
      <c r="L60">
        <v>7</v>
      </c>
      <c r="M60">
        <v>24</v>
      </c>
      <c r="N60">
        <v>3</v>
      </c>
      <c r="O60" t="s">
        <v>27</v>
      </c>
      <c r="P60" t="s">
        <v>28</v>
      </c>
      <c r="Q60">
        <v>2</v>
      </c>
      <c r="R60" t="s">
        <v>27</v>
      </c>
      <c r="S60" t="s">
        <v>27</v>
      </c>
      <c r="T60" t="b">
        <f t="shared" si="0"/>
        <v>0</v>
      </c>
      <c r="U60" t="str">
        <f t="shared" si="1"/>
        <v>Employee_0059</v>
      </c>
      <c r="V60" t="str">
        <f t="shared" si="2"/>
        <v>Male</v>
      </c>
      <c r="W60" t="str">
        <f t="shared" si="3"/>
        <v>Operations</v>
      </c>
      <c r="X60" t="str">
        <f t="shared" si="4"/>
        <v>Bangalore</v>
      </c>
      <c r="Y60" t="str">
        <f t="shared" si="5"/>
        <v>Valid</v>
      </c>
      <c r="Z60" t="str">
        <f t="shared" si="6"/>
        <v>Valid</v>
      </c>
      <c r="AA60" t="str">
        <f t="shared" si="7"/>
        <v>Valid</v>
      </c>
      <c r="AB60" s="9" t="str">
        <f t="shared" si="8"/>
        <v>Valid</v>
      </c>
      <c r="AC60" s="9" t="str">
        <f t="shared" si="9"/>
        <v>Valid</v>
      </c>
      <c r="AD60" s="9" t="str">
        <f>IF(AND(Y60="Valid",Z60="Valid",AA60="Valid",AB60="Valid",COUNTIF($A$2:A60,A60)=1),"Include","Exclude")</f>
        <v>Include</v>
      </c>
    </row>
    <row r="61" spans="1:30" x14ac:dyDescent="0.35">
      <c r="A61" t="s">
        <v>166</v>
      </c>
      <c r="B61" t="s">
        <v>167</v>
      </c>
      <c r="C61" t="s">
        <v>21</v>
      </c>
      <c r="D61">
        <v>50</v>
      </c>
      <c r="E61" t="s">
        <v>38</v>
      </c>
      <c r="F61" t="s">
        <v>33</v>
      </c>
      <c r="G61" t="s">
        <v>24</v>
      </c>
      <c r="H61" t="s">
        <v>70</v>
      </c>
      <c r="I61">
        <v>23</v>
      </c>
      <c r="J61">
        <v>70661</v>
      </c>
      <c r="K61" t="s">
        <v>35</v>
      </c>
      <c r="L61">
        <v>1</v>
      </c>
      <c r="M61">
        <v>30</v>
      </c>
      <c r="N61">
        <v>2</v>
      </c>
      <c r="O61" t="s">
        <v>27</v>
      </c>
      <c r="P61" t="s">
        <v>28</v>
      </c>
      <c r="Q61">
        <v>1</v>
      </c>
      <c r="R61" t="s">
        <v>27</v>
      </c>
      <c r="S61" t="s">
        <v>27</v>
      </c>
      <c r="T61" t="b">
        <f t="shared" si="0"/>
        <v>0</v>
      </c>
      <c r="U61" t="str">
        <f t="shared" si="1"/>
        <v>Employee_0060</v>
      </c>
      <c r="V61" t="str">
        <f t="shared" si="2"/>
        <v>Female</v>
      </c>
      <c r="W61" t="str">
        <f t="shared" si="3"/>
        <v>Sales</v>
      </c>
      <c r="X61" t="str">
        <f t="shared" si="4"/>
        <v>Bangalore</v>
      </c>
      <c r="Y61" t="str">
        <f t="shared" si="5"/>
        <v>Valid</v>
      </c>
      <c r="Z61" t="str">
        <f t="shared" si="6"/>
        <v>Valid</v>
      </c>
      <c r="AA61" t="str">
        <f t="shared" si="7"/>
        <v>Valid</v>
      </c>
      <c r="AB61" s="9" t="str">
        <f t="shared" si="8"/>
        <v>Valid</v>
      </c>
      <c r="AC61" s="9" t="str">
        <f t="shared" si="9"/>
        <v>Valid</v>
      </c>
      <c r="AD61" s="9" t="str">
        <f>IF(AND(Y61="Valid",Z61="Valid",AA61="Valid",AB61="Valid",COUNTIF($A$2:A61,A61)=1),"Include","Exclude")</f>
        <v>Include</v>
      </c>
    </row>
    <row r="62" spans="1:30" x14ac:dyDescent="0.35">
      <c r="A62" t="s">
        <v>168</v>
      </c>
      <c r="B62" t="s">
        <v>169</v>
      </c>
      <c r="C62" t="s">
        <v>21</v>
      </c>
      <c r="D62">
        <v>23</v>
      </c>
      <c r="E62" t="s">
        <v>55</v>
      </c>
      <c r="F62" t="s">
        <v>33</v>
      </c>
      <c r="G62" t="s">
        <v>24</v>
      </c>
      <c r="H62" t="s">
        <v>49</v>
      </c>
      <c r="I62">
        <v>1</v>
      </c>
      <c r="J62">
        <v>53317</v>
      </c>
      <c r="K62" t="s">
        <v>26</v>
      </c>
      <c r="L62">
        <v>9</v>
      </c>
      <c r="M62">
        <v>33</v>
      </c>
      <c r="N62">
        <v>1</v>
      </c>
      <c r="O62" t="s">
        <v>27</v>
      </c>
      <c r="P62" t="s">
        <v>27</v>
      </c>
      <c r="Q62">
        <v>1</v>
      </c>
      <c r="R62" t="s">
        <v>27</v>
      </c>
      <c r="S62" t="s">
        <v>27</v>
      </c>
      <c r="T62" t="b">
        <f t="shared" si="0"/>
        <v>0</v>
      </c>
      <c r="U62" t="str">
        <f t="shared" si="1"/>
        <v>Employee_0061</v>
      </c>
      <c r="V62" t="str">
        <f t="shared" si="2"/>
        <v>Female</v>
      </c>
      <c r="W62" t="str">
        <f t="shared" si="3"/>
        <v>Sales</v>
      </c>
      <c r="X62" t="str">
        <f t="shared" si="4"/>
        <v>Delhi</v>
      </c>
      <c r="Y62" t="str">
        <f t="shared" si="5"/>
        <v>Valid</v>
      </c>
      <c r="Z62" t="str">
        <f t="shared" si="6"/>
        <v>Valid</v>
      </c>
      <c r="AA62" t="str">
        <f t="shared" si="7"/>
        <v>Valid</v>
      </c>
      <c r="AB62" s="9" t="str">
        <f t="shared" si="8"/>
        <v>Valid</v>
      </c>
      <c r="AC62" s="9" t="str">
        <f t="shared" si="9"/>
        <v>Valid</v>
      </c>
      <c r="AD62" s="9" t="str">
        <f>IF(AND(Y62="Valid",Z62="Valid",AA62="Valid",AB62="Valid",COUNTIF($A$2:A62,A62)=1),"Include","Exclude")</f>
        <v>Include</v>
      </c>
    </row>
    <row r="63" spans="1:30" x14ac:dyDescent="0.35">
      <c r="A63" t="s">
        <v>170</v>
      </c>
      <c r="B63" t="s">
        <v>171</v>
      </c>
      <c r="C63" t="s">
        <v>21</v>
      </c>
      <c r="D63">
        <v>47</v>
      </c>
      <c r="E63" t="s">
        <v>22</v>
      </c>
      <c r="F63" t="s">
        <v>48</v>
      </c>
      <c r="G63" t="s">
        <v>69</v>
      </c>
      <c r="H63" t="s">
        <v>131</v>
      </c>
      <c r="I63">
        <v>17</v>
      </c>
      <c r="J63">
        <v>47788</v>
      </c>
      <c r="K63" t="s">
        <v>45</v>
      </c>
      <c r="L63">
        <v>8</v>
      </c>
      <c r="M63">
        <v>18</v>
      </c>
      <c r="N63">
        <v>4</v>
      </c>
      <c r="O63" t="s">
        <v>27</v>
      </c>
      <c r="P63" t="s">
        <v>28</v>
      </c>
      <c r="Q63">
        <v>3</v>
      </c>
      <c r="R63" t="s">
        <v>27</v>
      </c>
      <c r="S63" t="s">
        <v>27</v>
      </c>
      <c r="T63" t="b">
        <f t="shared" si="0"/>
        <v>0</v>
      </c>
      <c r="U63" t="str">
        <f t="shared" si="1"/>
        <v>Employee_0062</v>
      </c>
      <c r="V63" t="str">
        <f t="shared" si="2"/>
        <v>Female</v>
      </c>
      <c r="W63" t="str">
        <f t="shared" si="3"/>
        <v>Customer Support</v>
      </c>
      <c r="X63" t="str">
        <f t="shared" si="4"/>
        <v>Pune</v>
      </c>
      <c r="Y63" t="str">
        <f t="shared" si="5"/>
        <v>Valid</v>
      </c>
      <c r="Z63" t="str">
        <f t="shared" si="6"/>
        <v>Valid</v>
      </c>
      <c r="AA63" t="str">
        <f t="shared" si="7"/>
        <v>Valid</v>
      </c>
      <c r="AB63" s="9" t="str">
        <f t="shared" si="8"/>
        <v>Valid</v>
      </c>
      <c r="AC63" s="9" t="str">
        <f t="shared" si="9"/>
        <v>Valid</v>
      </c>
      <c r="AD63" s="9" t="str">
        <f>IF(AND(Y63="Valid",Z63="Valid",AA63="Valid",AB63="Valid",COUNTIF($A$2:A63,A63)=1),"Include","Exclude")</f>
        <v>Include</v>
      </c>
    </row>
    <row r="64" spans="1:30" x14ac:dyDescent="0.35">
      <c r="A64" t="s">
        <v>172</v>
      </c>
      <c r="B64" t="s">
        <v>173</v>
      </c>
      <c r="C64" t="s">
        <v>21</v>
      </c>
      <c r="D64">
        <v>23</v>
      </c>
      <c r="E64" t="s">
        <v>55</v>
      </c>
      <c r="F64" t="s">
        <v>64</v>
      </c>
      <c r="G64" t="s">
        <v>69</v>
      </c>
      <c r="H64" t="s">
        <v>52</v>
      </c>
      <c r="I64">
        <v>1</v>
      </c>
      <c r="J64">
        <v>60648</v>
      </c>
      <c r="K64" t="s">
        <v>45</v>
      </c>
      <c r="L64">
        <v>3</v>
      </c>
      <c r="M64">
        <v>2</v>
      </c>
      <c r="N64">
        <v>4</v>
      </c>
      <c r="O64" t="s">
        <v>28</v>
      </c>
      <c r="P64" t="s">
        <v>27</v>
      </c>
      <c r="Q64">
        <v>1</v>
      </c>
      <c r="R64" t="s">
        <v>28</v>
      </c>
      <c r="S64" t="s">
        <v>28</v>
      </c>
      <c r="T64" t="b">
        <f t="shared" si="0"/>
        <v>0</v>
      </c>
      <c r="U64" t="str">
        <f t="shared" si="1"/>
        <v>Employee_0063</v>
      </c>
      <c r="V64" t="str">
        <f t="shared" si="2"/>
        <v>Female</v>
      </c>
      <c r="W64" t="str">
        <f t="shared" si="3"/>
        <v>Marketing</v>
      </c>
      <c r="X64" t="str">
        <f t="shared" si="4"/>
        <v>Mumbai</v>
      </c>
      <c r="Y64" t="str">
        <f t="shared" si="5"/>
        <v>Valid</v>
      </c>
      <c r="Z64" t="str">
        <f t="shared" si="6"/>
        <v>Valid</v>
      </c>
      <c r="AA64" t="str">
        <f t="shared" si="7"/>
        <v>Valid</v>
      </c>
      <c r="AB64" s="9" t="str">
        <f t="shared" si="8"/>
        <v>Valid</v>
      </c>
      <c r="AC64" s="9" t="str">
        <f t="shared" si="9"/>
        <v>Valid</v>
      </c>
      <c r="AD64" s="9" t="str">
        <f>IF(AND(Y64="Valid",Z64="Valid",AA64="Valid",AB64="Valid",COUNTIF($A$2:A64,A64)=1),"Include","Exclude")</f>
        <v>Include</v>
      </c>
    </row>
    <row r="65" spans="1:30" x14ac:dyDescent="0.35">
      <c r="A65" t="s">
        <v>174</v>
      </c>
      <c r="B65" t="s">
        <v>175</v>
      </c>
      <c r="C65" t="s">
        <v>31</v>
      </c>
      <c r="D65">
        <v>44</v>
      </c>
      <c r="E65" t="s">
        <v>38</v>
      </c>
      <c r="F65" t="s">
        <v>39</v>
      </c>
      <c r="G65" t="s">
        <v>24</v>
      </c>
      <c r="H65" t="s">
        <v>131</v>
      </c>
      <c r="I65">
        <v>11</v>
      </c>
      <c r="J65">
        <v>57527</v>
      </c>
      <c r="K65" t="s">
        <v>35</v>
      </c>
      <c r="L65">
        <v>7</v>
      </c>
      <c r="M65">
        <v>37</v>
      </c>
      <c r="N65">
        <v>2</v>
      </c>
      <c r="O65" t="s">
        <v>27</v>
      </c>
      <c r="P65" t="s">
        <v>28</v>
      </c>
      <c r="Q65">
        <v>3</v>
      </c>
      <c r="R65" t="s">
        <v>27</v>
      </c>
      <c r="S65" t="s">
        <v>27</v>
      </c>
      <c r="T65" t="b">
        <f t="shared" si="0"/>
        <v>0</v>
      </c>
      <c r="U65" t="str">
        <f t="shared" si="1"/>
        <v>Employee_0064</v>
      </c>
      <c r="V65" t="str">
        <f t="shared" si="2"/>
        <v>Male</v>
      </c>
      <c r="W65" t="str">
        <f t="shared" si="3"/>
        <v>Operations</v>
      </c>
      <c r="X65" t="str">
        <f t="shared" si="4"/>
        <v>Pune</v>
      </c>
      <c r="Y65" t="str">
        <f t="shared" si="5"/>
        <v>Valid</v>
      </c>
      <c r="Z65" t="str">
        <f t="shared" si="6"/>
        <v>Valid</v>
      </c>
      <c r="AA65" t="str">
        <f t="shared" si="7"/>
        <v>Valid</v>
      </c>
      <c r="AB65" s="9" t="str">
        <f t="shared" si="8"/>
        <v>Valid</v>
      </c>
      <c r="AC65" s="9" t="str">
        <f t="shared" si="9"/>
        <v>Valid</v>
      </c>
      <c r="AD65" s="9" t="str">
        <f>IF(AND(Y65="Valid",Z65="Valid",AA65="Valid",AB65="Valid",COUNTIF($A$2:A65,A65)=1),"Include","Exclude")</f>
        <v>Include</v>
      </c>
    </row>
    <row r="66" spans="1:30" x14ac:dyDescent="0.35">
      <c r="A66" t="s">
        <v>176</v>
      </c>
      <c r="B66" t="s">
        <v>177</v>
      </c>
      <c r="C66" t="s">
        <v>31</v>
      </c>
      <c r="D66">
        <v>22</v>
      </c>
      <c r="E66" t="s">
        <v>55</v>
      </c>
      <c r="F66" t="s">
        <v>23</v>
      </c>
      <c r="G66" t="s">
        <v>24</v>
      </c>
      <c r="H66" t="s">
        <v>61</v>
      </c>
      <c r="I66">
        <v>1</v>
      </c>
      <c r="J66">
        <v>62903</v>
      </c>
      <c r="K66" t="s">
        <v>26</v>
      </c>
      <c r="L66">
        <v>6</v>
      </c>
      <c r="M66">
        <v>4</v>
      </c>
      <c r="N66">
        <v>3</v>
      </c>
      <c r="O66" t="s">
        <v>27</v>
      </c>
      <c r="P66" t="s">
        <v>28</v>
      </c>
      <c r="Q66">
        <v>1</v>
      </c>
      <c r="R66" t="s">
        <v>28</v>
      </c>
      <c r="S66" t="s">
        <v>27</v>
      </c>
      <c r="T66" t="b">
        <f t="shared" ref="T66:T129" si="10">COUNTIF($A$2:$A$503,A66)&gt;1</f>
        <v>0</v>
      </c>
      <c r="U66" t="str">
        <f t="shared" ref="U66:U129" si="11">TRIM(B66)</f>
        <v>Employee_0065</v>
      </c>
      <c r="V66" t="str">
        <f t="shared" ref="V66:V129" si="12">PROPER(TRIM(C66))</f>
        <v>Male</v>
      </c>
      <c r="W66" t="str">
        <f t="shared" ref="W66:W129" si="13">PROPER(TRIM(F66))</f>
        <v>Finance</v>
      </c>
      <c r="X66" t="str">
        <f t="shared" ref="X66:X129" si="14">PROPER(TRIM(H66))</f>
        <v>Noida</v>
      </c>
      <c r="Y66" t="str">
        <f t="shared" ref="Y66:Y129" si="15">IF(J66&lt;=0,"Check","Valid")</f>
        <v>Valid</v>
      </c>
      <c r="Z66" t="str">
        <f t="shared" ref="Z66:Z129" si="16">IF(AND(L66&gt;=1,L66&lt;=10),"Valid","Check")</f>
        <v>Valid</v>
      </c>
      <c r="AA66" t="str">
        <f t="shared" ref="AA66:AA129" si="17">IF(AND(M66&gt;=0,M66&lt;=200),"Valid","Check")</f>
        <v>Valid</v>
      </c>
      <c r="AB66" s="9" t="str">
        <f t="shared" ref="AB66:AB129" si="18">IF(AND(I66&gt;=0,I66&lt;=50),"Valid","Check")</f>
        <v>Valid</v>
      </c>
      <c r="AC66" s="9" t="str">
        <f t="shared" ref="AC66:AC129" si="19">IF(OR(T66=TRUE,Y66="Check",Z66="Check",AA66="Check",AB66="Check"),"Check","Valid")</f>
        <v>Valid</v>
      </c>
      <c r="AD66" s="9" t="str">
        <f>IF(AND(Y66="Valid",Z66="Valid",AA66="Valid",AB66="Valid",COUNTIF($A$2:A66,A66)=1),"Include","Exclude")</f>
        <v>Include</v>
      </c>
    </row>
    <row r="67" spans="1:30" x14ac:dyDescent="0.35">
      <c r="A67" t="s">
        <v>178</v>
      </c>
      <c r="B67" t="s">
        <v>179</v>
      </c>
      <c r="C67" t="s">
        <v>31</v>
      </c>
      <c r="D67">
        <v>43</v>
      </c>
      <c r="E67" t="s">
        <v>55</v>
      </c>
      <c r="F67" t="s">
        <v>48</v>
      </c>
      <c r="G67" t="s">
        <v>24</v>
      </c>
      <c r="H67" t="s">
        <v>61</v>
      </c>
      <c r="I67">
        <v>11</v>
      </c>
      <c r="J67">
        <v>44913</v>
      </c>
      <c r="K67" t="s">
        <v>26</v>
      </c>
      <c r="L67">
        <v>1</v>
      </c>
      <c r="M67">
        <v>38</v>
      </c>
      <c r="N67">
        <v>2</v>
      </c>
      <c r="O67" t="s">
        <v>27</v>
      </c>
      <c r="P67" t="s">
        <v>27</v>
      </c>
      <c r="Q67">
        <v>1</v>
      </c>
      <c r="R67" t="s">
        <v>27</v>
      </c>
      <c r="S67" t="s">
        <v>27</v>
      </c>
      <c r="T67" t="b">
        <f t="shared" si="10"/>
        <v>0</v>
      </c>
      <c r="U67" t="str">
        <f t="shared" si="11"/>
        <v>Employee_0066</v>
      </c>
      <c r="V67" t="str">
        <f t="shared" si="12"/>
        <v>Male</v>
      </c>
      <c r="W67" t="str">
        <f t="shared" si="13"/>
        <v>Customer Support</v>
      </c>
      <c r="X67" t="str">
        <f t="shared" si="14"/>
        <v>Noida</v>
      </c>
      <c r="Y67" t="str">
        <f t="shared" si="15"/>
        <v>Valid</v>
      </c>
      <c r="Z67" t="str">
        <f t="shared" si="16"/>
        <v>Valid</v>
      </c>
      <c r="AA67" t="str">
        <f t="shared" si="17"/>
        <v>Valid</v>
      </c>
      <c r="AB67" s="9" t="str">
        <f t="shared" si="18"/>
        <v>Valid</v>
      </c>
      <c r="AC67" s="9" t="str">
        <f t="shared" si="19"/>
        <v>Valid</v>
      </c>
      <c r="AD67" s="9" t="str">
        <f>IF(AND(Y67="Valid",Z67="Valid",AA67="Valid",AB67="Valid",COUNTIF($A$2:A67,A67)=1),"Include","Exclude")</f>
        <v>Include</v>
      </c>
    </row>
    <row r="68" spans="1:30" x14ac:dyDescent="0.35">
      <c r="A68" t="s">
        <v>180</v>
      </c>
      <c r="B68" t="s">
        <v>181</v>
      </c>
      <c r="C68" t="s">
        <v>21</v>
      </c>
      <c r="D68">
        <v>46</v>
      </c>
      <c r="E68" t="s">
        <v>55</v>
      </c>
      <c r="F68" t="s">
        <v>33</v>
      </c>
      <c r="G68" t="s">
        <v>24</v>
      </c>
      <c r="H68" t="s">
        <v>34</v>
      </c>
      <c r="I68">
        <v>16</v>
      </c>
      <c r="J68">
        <v>65421</v>
      </c>
      <c r="K68" t="s">
        <v>45</v>
      </c>
      <c r="L68">
        <v>10</v>
      </c>
      <c r="M68">
        <v>26</v>
      </c>
      <c r="N68">
        <v>1</v>
      </c>
      <c r="O68" t="s">
        <v>28</v>
      </c>
      <c r="P68" t="s">
        <v>28</v>
      </c>
      <c r="Q68">
        <v>2</v>
      </c>
      <c r="R68" t="s">
        <v>27</v>
      </c>
      <c r="S68" t="s">
        <v>27</v>
      </c>
      <c r="T68" t="b">
        <f t="shared" si="10"/>
        <v>0</v>
      </c>
      <c r="U68" t="str">
        <f t="shared" si="11"/>
        <v>Employee_0067</v>
      </c>
      <c r="V68" t="str">
        <f t="shared" si="12"/>
        <v>Female</v>
      </c>
      <c r="W68" t="str">
        <f t="shared" si="13"/>
        <v>Sales</v>
      </c>
      <c r="X68" t="str">
        <f t="shared" si="14"/>
        <v>Gurgaon</v>
      </c>
      <c r="Y68" t="str">
        <f t="shared" si="15"/>
        <v>Valid</v>
      </c>
      <c r="Z68" t="str">
        <f t="shared" si="16"/>
        <v>Valid</v>
      </c>
      <c r="AA68" t="str">
        <f t="shared" si="17"/>
        <v>Valid</v>
      </c>
      <c r="AB68" s="9" t="str">
        <f t="shared" si="18"/>
        <v>Valid</v>
      </c>
      <c r="AC68" s="9" t="str">
        <f t="shared" si="19"/>
        <v>Valid</v>
      </c>
      <c r="AD68" s="9" t="str">
        <f>IF(AND(Y68="Valid",Z68="Valid",AA68="Valid",AB68="Valid",COUNTIF($A$2:A68,A68)=1),"Include","Exclude")</f>
        <v>Include</v>
      </c>
    </row>
    <row r="69" spans="1:30" x14ac:dyDescent="0.35">
      <c r="A69" t="s">
        <v>182</v>
      </c>
      <c r="B69" t="s">
        <v>183</v>
      </c>
      <c r="C69" t="s">
        <v>21</v>
      </c>
      <c r="D69">
        <v>55</v>
      </c>
      <c r="E69" t="s">
        <v>32</v>
      </c>
      <c r="F69" t="s">
        <v>23</v>
      </c>
      <c r="G69" t="s">
        <v>24</v>
      </c>
      <c r="H69" t="s">
        <v>52</v>
      </c>
      <c r="I69">
        <v>26</v>
      </c>
      <c r="J69">
        <v>68221</v>
      </c>
      <c r="K69" t="s">
        <v>26</v>
      </c>
      <c r="L69">
        <v>6</v>
      </c>
      <c r="M69">
        <v>31</v>
      </c>
      <c r="N69">
        <v>2</v>
      </c>
      <c r="O69" t="s">
        <v>28</v>
      </c>
      <c r="P69" t="s">
        <v>28</v>
      </c>
      <c r="Q69">
        <v>5</v>
      </c>
      <c r="R69" t="s">
        <v>27</v>
      </c>
      <c r="S69" t="s">
        <v>27</v>
      </c>
      <c r="T69" t="b">
        <f t="shared" si="10"/>
        <v>0</v>
      </c>
      <c r="U69" t="str">
        <f t="shared" si="11"/>
        <v>Employee_0068</v>
      </c>
      <c r="V69" t="str">
        <f t="shared" si="12"/>
        <v>Female</v>
      </c>
      <c r="W69" t="str">
        <f t="shared" si="13"/>
        <v>Finance</v>
      </c>
      <c r="X69" t="str">
        <f t="shared" si="14"/>
        <v>Mumbai</v>
      </c>
      <c r="Y69" t="str">
        <f t="shared" si="15"/>
        <v>Valid</v>
      </c>
      <c r="Z69" t="str">
        <f t="shared" si="16"/>
        <v>Valid</v>
      </c>
      <c r="AA69" t="str">
        <f t="shared" si="17"/>
        <v>Valid</v>
      </c>
      <c r="AB69" s="9" t="str">
        <f t="shared" si="18"/>
        <v>Valid</v>
      </c>
      <c r="AC69" s="9" t="str">
        <f t="shared" si="19"/>
        <v>Valid</v>
      </c>
      <c r="AD69" s="9" t="str">
        <f>IF(AND(Y69="Valid",Z69="Valid",AA69="Valid",AB69="Valid",COUNTIF($A$2:A69,A69)=1),"Include","Exclude")</f>
        <v>Include</v>
      </c>
    </row>
    <row r="70" spans="1:30" x14ac:dyDescent="0.35">
      <c r="A70" t="s">
        <v>184</v>
      </c>
      <c r="B70" t="s">
        <v>185</v>
      </c>
      <c r="C70" t="s">
        <v>31</v>
      </c>
      <c r="D70">
        <v>39</v>
      </c>
      <c r="E70" t="s">
        <v>55</v>
      </c>
      <c r="F70" t="s">
        <v>39</v>
      </c>
      <c r="G70" t="s">
        <v>24</v>
      </c>
      <c r="H70" t="s">
        <v>25</v>
      </c>
      <c r="I70">
        <v>6</v>
      </c>
      <c r="J70">
        <v>48360</v>
      </c>
      <c r="K70" t="s">
        <v>45</v>
      </c>
      <c r="L70">
        <v>6</v>
      </c>
      <c r="M70">
        <v>19</v>
      </c>
      <c r="N70">
        <v>6</v>
      </c>
      <c r="O70" t="s">
        <v>28</v>
      </c>
      <c r="P70" t="s">
        <v>28</v>
      </c>
      <c r="Q70">
        <v>4</v>
      </c>
      <c r="R70" t="s">
        <v>28</v>
      </c>
      <c r="S70" t="s">
        <v>27</v>
      </c>
      <c r="T70" t="b">
        <f t="shared" si="10"/>
        <v>0</v>
      </c>
      <c r="U70" t="str">
        <f t="shared" si="11"/>
        <v>Employee_0069</v>
      </c>
      <c r="V70" t="str">
        <f t="shared" si="12"/>
        <v>Male</v>
      </c>
      <c r="W70" t="str">
        <f t="shared" si="13"/>
        <v>Operations</v>
      </c>
      <c r="X70" t="str">
        <f t="shared" si="14"/>
        <v>Hyderabad</v>
      </c>
      <c r="Y70" t="str">
        <f t="shared" si="15"/>
        <v>Valid</v>
      </c>
      <c r="Z70" t="str">
        <f t="shared" si="16"/>
        <v>Valid</v>
      </c>
      <c r="AA70" t="str">
        <f t="shared" si="17"/>
        <v>Valid</v>
      </c>
      <c r="AB70" s="9" t="str">
        <f t="shared" si="18"/>
        <v>Valid</v>
      </c>
      <c r="AC70" s="9" t="str">
        <f t="shared" si="19"/>
        <v>Valid</v>
      </c>
      <c r="AD70" s="9" t="str">
        <f>IF(AND(Y70="Valid",Z70="Valid",AA70="Valid",AB70="Valid",COUNTIF($A$2:A70,A70)=1),"Include","Exclude")</f>
        <v>Include</v>
      </c>
    </row>
    <row r="71" spans="1:30" x14ac:dyDescent="0.35">
      <c r="A71" t="s">
        <v>186</v>
      </c>
      <c r="B71" t="s">
        <v>187</v>
      </c>
      <c r="C71" t="s">
        <v>21</v>
      </c>
      <c r="D71">
        <v>54</v>
      </c>
      <c r="E71" t="s">
        <v>55</v>
      </c>
      <c r="F71" t="s">
        <v>23</v>
      </c>
      <c r="G71" t="s">
        <v>24</v>
      </c>
      <c r="H71" t="s">
        <v>25</v>
      </c>
      <c r="I71">
        <v>19</v>
      </c>
      <c r="J71">
        <v>72635</v>
      </c>
      <c r="K71" t="s">
        <v>35</v>
      </c>
      <c r="L71">
        <v>9</v>
      </c>
      <c r="M71">
        <v>18</v>
      </c>
      <c r="N71">
        <v>2</v>
      </c>
      <c r="O71" t="s">
        <v>27</v>
      </c>
      <c r="P71" t="s">
        <v>27</v>
      </c>
      <c r="Q71">
        <v>1</v>
      </c>
      <c r="R71" t="s">
        <v>27</v>
      </c>
      <c r="S71" t="s">
        <v>27</v>
      </c>
      <c r="T71" t="b">
        <f t="shared" si="10"/>
        <v>0</v>
      </c>
      <c r="U71" t="str">
        <f t="shared" si="11"/>
        <v>Employee_0070</v>
      </c>
      <c r="V71" t="str">
        <f t="shared" si="12"/>
        <v>Female</v>
      </c>
      <c r="W71" t="str">
        <f t="shared" si="13"/>
        <v>Finance</v>
      </c>
      <c r="X71" t="str">
        <f t="shared" si="14"/>
        <v>Hyderabad</v>
      </c>
      <c r="Y71" t="str">
        <f t="shared" si="15"/>
        <v>Valid</v>
      </c>
      <c r="Z71" t="str">
        <f t="shared" si="16"/>
        <v>Valid</v>
      </c>
      <c r="AA71" t="str">
        <f t="shared" si="17"/>
        <v>Valid</v>
      </c>
      <c r="AB71" s="9" t="str">
        <f t="shared" si="18"/>
        <v>Valid</v>
      </c>
      <c r="AC71" s="9" t="str">
        <f t="shared" si="19"/>
        <v>Valid</v>
      </c>
      <c r="AD71" s="9" t="str">
        <f>IF(AND(Y71="Valid",Z71="Valid",AA71="Valid",AB71="Valid",COUNTIF($A$2:A71,A71)=1),"Include","Exclude")</f>
        <v>Include</v>
      </c>
    </row>
    <row r="72" spans="1:30" hidden="1" x14ac:dyDescent="0.35">
      <c r="A72" t="s">
        <v>188</v>
      </c>
      <c r="B72" t="s">
        <v>189</v>
      </c>
      <c r="C72" t="s">
        <v>31</v>
      </c>
      <c r="D72">
        <v>25</v>
      </c>
      <c r="E72" t="s">
        <v>38</v>
      </c>
      <c r="F72" t="s">
        <v>43</v>
      </c>
      <c r="G72" t="s">
        <v>69</v>
      </c>
      <c r="H72" t="s">
        <v>34</v>
      </c>
      <c r="I72">
        <v>3</v>
      </c>
      <c r="J72">
        <v>0</v>
      </c>
      <c r="K72" t="s">
        <v>45</v>
      </c>
      <c r="L72">
        <v>4</v>
      </c>
      <c r="M72">
        <v>27</v>
      </c>
      <c r="N72">
        <v>3</v>
      </c>
      <c r="O72" t="s">
        <v>28</v>
      </c>
      <c r="P72" t="s">
        <v>28</v>
      </c>
      <c r="Q72">
        <v>4</v>
      </c>
      <c r="R72" t="s">
        <v>27</v>
      </c>
      <c r="S72" t="s">
        <v>28</v>
      </c>
      <c r="T72" t="b">
        <f t="shared" si="10"/>
        <v>0</v>
      </c>
      <c r="U72" t="str">
        <f t="shared" si="11"/>
        <v>Employee_0071</v>
      </c>
      <c r="V72" t="str">
        <f t="shared" si="12"/>
        <v>Male</v>
      </c>
      <c r="W72" t="str">
        <f t="shared" si="13"/>
        <v>It</v>
      </c>
      <c r="X72" t="str">
        <f t="shared" si="14"/>
        <v>Gurgaon</v>
      </c>
      <c r="Y72" t="str">
        <f t="shared" si="15"/>
        <v>Check</v>
      </c>
      <c r="Z72" t="str">
        <f t="shared" si="16"/>
        <v>Valid</v>
      </c>
      <c r="AA72" t="str">
        <f t="shared" si="17"/>
        <v>Valid</v>
      </c>
      <c r="AB72" s="9" t="str">
        <f t="shared" si="18"/>
        <v>Valid</v>
      </c>
      <c r="AC72" s="9" t="str">
        <f t="shared" si="19"/>
        <v>Check</v>
      </c>
      <c r="AD72" s="9" t="str">
        <f>IF(AND(Y72="Valid",Z72="Valid",AA72="Valid",AB72="Valid",COUNTIF($A$2:A72,A72)=1),"Include","Exclude")</f>
        <v>Exclude</v>
      </c>
    </row>
    <row r="73" spans="1:30" x14ac:dyDescent="0.35">
      <c r="A73" t="s">
        <v>190</v>
      </c>
      <c r="B73" t="s">
        <v>191</v>
      </c>
      <c r="C73" t="s">
        <v>31</v>
      </c>
      <c r="D73">
        <v>31</v>
      </c>
      <c r="E73" t="s">
        <v>55</v>
      </c>
      <c r="F73" t="s">
        <v>60</v>
      </c>
      <c r="G73" t="s">
        <v>24</v>
      </c>
      <c r="H73" t="s">
        <v>49</v>
      </c>
      <c r="I73">
        <v>6</v>
      </c>
      <c r="J73">
        <v>56852</v>
      </c>
      <c r="K73" t="s">
        <v>35</v>
      </c>
      <c r="L73">
        <v>4</v>
      </c>
      <c r="M73">
        <v>12</v>
      </c>
      <c r="N73">
        <v>6</v>
      </c>
      <c r="O73" t="s">
        <v>28</v>
      </c>
      <c r="P73" t="s">
        <v>27</v>
      </c>
      <c r="Q73">
        <v>2</v>
      </c>
      <c r="R73" t="s">
        <v>28</v>
      </c>
      <c r="S73" t="s">
        <v>27</v>
      </c>
      <c r="T73" t="b">
        <f t="shared" si="10"/>
        <v>0</v>
      </c>
      <c r="U73" t="str">
        <f t="shared" si="11"/>
        <v>Employee_0072</v>
      </c>
      <c r="V73" t="str">
        <f t="shared" si="12"/>
        <v>Male</v>
      </c>
      <c r="W73" t="str">
        <f t="shared" si="13"/>
        <v>Hr</v>
      </c>
      <c r="X73" t="str">
        <f t="shared" si="14"/>
        <v>Delhi</v>
      </c>
      <c r="Y73" t="str">
        <f t="shared" si="15"/>
        <v>Valid</v>
      </c>
      <c r="Z73" t="str">
        <f t="shared" si="16"/>
        <v>Valid</v>
      </c>
      <c r="AA73" t="str">
        <f t="shared" si="17"/>
        <v>Valid</v>
      </c>
      <c r="AB73" s="9" t="str">
        <f t="shared" si="18"/>
        <v>Valid</v>
      </c>
      <c r="AC73" s="9" t="str">
        <f t="shared" si="19"/>
        <v>Valid</v>
      </c>
      <c r="AD73" s="9" t="str">
        <f>IF(AND(Y73="Valid",Z73="Valid",AA73="Valid",AB73="Valid",COUNTIF($A$2:A73,A73)=1),"Include","Exclude")</f>
        <v>Include</v>
      </c>
    </row>
    <row r="74" spans="1:30" x14ac:dyDescent="0.35">
      <c r="A74" t="s">
        <v>192</v>
      </c>
      <c r="B74" t="s">
        <v>193</v>
      </c>
      <c r="C74" t="s">
        <v>31</v>
      </c>
      <c r="D74">
        <v>35</v>
      </c>
      <c r="E74" t="s">
        <v>38</v>
      </c>
      <c r="F74" t="s">
        <v>43</v>
      </c>
      <c r="G74" t="s">
        <v>24</v>
      </c>
      <c r="H74" t="s">
        <v>25</v>
      </c>
      <c r="I74">
        <v>11</v>
      </c>
      <c r="J74">
        <v>82000</v>
      </c>
      <c r="K74" t="s">
        <v>45</v>
      </c>
      <c r="L74">
        <v>10</v>
      </c>
      <c r="M74">
        <v>29</v>
      </c>
      <c r="N74">
        <v>4</v>
      </c>
      <c r="O74" t="s">
        <v>28</v>
      </c>
      <c r="P74" t="s">
        <v>28</v>
      </c>
      <c r="Q74">
        <v>4</v>
      </c>
      <c r="R74" t="s">
        <v>27</v>
      </c>
      <c r="S74" t="s">
        <v>28</v>
      </c>
      <c r="T74" t="b">
        <f t="shared" si="10"/>
        <v>0</v>
      </c>
      <c r="U74" t="str">
        <f t="shared" si="11"/>
        <v>Employee_0073</v>
      </c>
      <c r="V74" t="str">
        <f t="shared" si="12"/>
        <v>Male</v>
      </c>
      <c r="W74" t="str">
        <f t="shared" si="13"/>
        <v>It</v>
      </c>
      <c r="X74" t="str">
        <f t="shared" si="14"/>
        <v>Hyderabad</v>
      </c>
      <c r="Y74" t="str">
        <f t="shared" si="15"/>
        <v>Valid</v>
      </c>
      <c r="Z74" t="str">
        <f t="shared" si="16"/>
        <v>Valid</v>
      </c>
      <c r="AA74" t="str">
        <f t="shared" si="17"/>
        <v>Valid</v>
      </c>
      <c r="AB74" s="9" t="str">
        <f t="shared" si="18"/>
        <v>Valid</v>
      </c>
      <c r="AC74" s="9" t="str">
        <f t="shared" si="19"/>
        <v>Valid</v>
      </c>
      <c r="AD74" s="9" t="str">
        <f>IF(AND(Y74="Valid",Z74="Valid",AA74="Valid",AB74="Valid",COUNTIF($A$2:A74,A74)=1),"Include","Exclude")</f>
        <v>Include</v>
      </c>
    </row>
    <row r="75" spans="1:30" x14ac:dyDescent="0.35">
      <c r="A75" t="s">
        <v>194</v>
      </c>
      <c r="B75" t="s">
        <v>195</v>
      </c>
      <c r="C75" t="s">
        <v>21</v>
      </c>
      <c r="D75">
        <v>55</v>
      </c>
      <c r="E75" t="s">
        <v>55</v>
      </c>
      <c r="F75" t="s">
        <v>43</v>
      </c>
      <c r="G75" t="s">
        <v>69</v>
      </c>
      <c r="H75" t="s">
        <v>49</v>
      </c>
      <c r="I75">
        <v>25</v>
      </c>
      <c r="J75">
        <v>82000</v>
      </c>
      <c r="K75" t="s">
        <v>45</v>
      </c>
      <c r="L75">
        <v>5</v>
      </c>
      <c r="M75">
        <v>25</v>
      </c>
      <c r="N75">
        <v>3</v>
      </c>
      <c r="O75" t="s">
        <v>28</v>
      </c>
      <c r="P75" t="s">
        <v>28</v>
      </c>
      <c r="Q75">
        <v>4</v>
      </c>
      <c r="R75" t="s">
        <v>27</v>
      </c>
      <c r="S75" t="s">
        <v>28</v>
      </c>
      <c r="T75" t="b">
        <f t="shared" si="10"/>
        <v>0</v>
      </c>
      <c r="U75" t="str">
        <f t="shared" si="11"/>
        <v>Employee_0074</v>
      </c>
      <c r="V75" t="str">
        <f t="shared" si="12"/>
        <v>Female</v>
      </c>
      <c r="W75" t="str">
        <f t="shared" si="13"/>
        <v>It</v>
      </c>
      <c r="X75" t="str">
        <f t="shared" si="14"/>
        <v>Delhi</v>
      </c>
      <c r="Y75" t="str">
        <f t="shared" si="15"/>
        <v>Valid</v>
      </c>
      <c r="Z75" t="str">
        <f t="shared" si="16"/>
        <v>Valid</v>
      </c>
      <c r="AA75" t="str">
        <f t="shared" si="17"/>
        <v>Valid</v>
      </c>
      <c r="AB75" s="9" t="str">
        <f t="shared" si="18"/>
        <v>Valid</v>
      </c>
      <c r="AC75" s="9" t="str">
        <f t="shared" si="19"/>
        <v>Valid</v>
      </c>
      <c r="AD75" s="9" t="str">
        <f>IF(AND(Y75="Valid",Z75="Valid",AA75="Valid",AB75="Valid",COUNTIF($A$2:A75,A75)=1),"Include","Exclude")</f>
        <v>Include</v>
      </c>
    </row>
    <row r="76" spans="1:30" x14ac:dyDescent="0.35">
      <c r="A76" t="s">
        <v>196</v>
      </c>
      <c r="B76" t="s">
        <v>197</v>
      </c>
      <c r="C76" t="s">
        <v>21</v>
      </c>
      <c r="D76">
        <v>46</v>
      </c>
      <c r="E76" t="s">
        <v>38</v>
      </c>
      <c r="F76" t="s">
        <v>60</v>
      </c>
      <c r="G76" t="s">
        <v>24</v>
      </c>
      <c r="H76" t="s">
        <v>70</v>
      </c>
      <c r="I76">
        <v>16</v>
      </c>
      <c r="J76">
        <v>63142</v>
      </c>
      <c r="K76" t="s">
        <v>26</v>
      </c>
      <c r="L76">
        <v>2</v>
      </c>
      <c r="M76">
        <v>37</v>
      </c>
      <c r="N76">
        <v>7</v>
      </c>
      <c r="O76" t="s">
        <v>27</v>
      </c>
      <c r="P76" t="s">
        <v>28</v>
      </c>
      <c r="Q76">
        <v>4</v>
      </c>
      <c r="R76" t="s">
        <v>28</v>
      </c>
      <c r="S76" t="s">
        <v>27</v>
      </c>
      <c r="T76" t="b">
        <f t="shared" si="10"/>
        <v>0</v>
      </c>
      <c r="U76" t="str">
        <f t="shared" si="11"/>
        <v>Employee_0075</v>
      </c>
      <c r="V76" t="str">
        <f t="shared" si="12"/>
        <v>Female</v>
      </c>
      <c r="W76" t="str">
        <f t="shared" si="13"/>
        <v>Hr</v>
      </c>
      <c r="X76" t="str">
        <f t="shared" si="14"/>
        <v>Bangalore</v>
      </c>
      <c r="Y76" t="str">
        <f t="shared" si="15"/>
        <v>Valid</v>
      </c>
      <c r="Z76" t="str">
        <f t="shared" si="16"/>
        <v>Valid</v>
      </c>
      <c r="AA76" t="str">
        <f t="shared" si="17"/>
        <v>Valid</v>
      </c>
      <c r="AB76" s="9" t="str">
        <f t="shared" si="18"/>
        <v>Valid</v>
      </c>
      <c r="AC76" s="9" t="str">
        <f t="shared" si="19"/>
        <v>Valid</v>
      </c>
      <c r="AD76" s="9" t="str">
        <f>IF(AND(Y76="Valid",Z76="Valid",AA76="Valid",AB76="Valid",COUNTIF($A$2:A76,A76)=1),"Include","Exclude")</f>
        <v>Include</v>
      </c>
    </row>
    <row r="77" spans="1:30" x14ac:dyDescent="0.35">
      <c r="A77" t="s">
        <v>198</v>
      </c>
      <c r="B77" t="s">
        <v>199</v>
      </c>
      <c r="C77" t="s">
        <v>21</v>
      </c>
      <c r="D77">
        <v>54</v>
      </c>
      <c r="E77" t="s">
        <v>38</v>
      </c>
      <c r="F77" t="s">
        <v>64</v>
      </c>
      <c r="G77" t="s">
        <v>24</v>
      </c>
      <c r="H77" t="s">
        <v>25</v>
      </c>
      <c r="I77">
        <v>14</v>
      </c>
      <c r="J77">
        <v>67340</v>
      </c>
      <c r="K77" t="s">
        <v>35</v>
      </c>
      <c r="L77">
        <v>7</v>
      </c>
      <c r="M77">
        <v>32</v>
      </c>
      <c r="N77">
        <v>4</v>
      </c>
      <c r="O77" t="s">
        <v>27</v>
      </c>
      <c r="P77" t="s">
        <v>28</v>
      </c>
      <c r="Q77">
        <v>3</v>
      </c>
      <c r="R77" t="s">
        <v>27</v>
      </c>
      <c r="S77" t="s">
        <v>27</v>
      </c>
      <c r="T77" t="b">
        <f t="shared" si="10"/>
        <v>0</v>
      </c>
      <c r="U77" t="str">
        <f t="shared" si="11"/>
        <v>Employee_0076</v>
      </c>
      <c r="V77" t="str">
        <f t="shared" si="12"/>
        <v>Female</v>
      </c>
      <c r="W77" t="str">
        <f t="shared" si="13"/>
        <v>Marketing</v>
      </c>
      <c r="X77" t="str">
        <f t="shared" si="14"/>
        <v>Hyderabad</v>
      </c>
      <c r="Y77" t="str">
        <f t="shared" si="15"/>
        <v>Valid</v>
      </c>
      <c r="Z77" t="str">
        <f t="shared" si="16"/>
        <v>Valid</v>
      </c>
      <c r="AA77" t="str">
        <f t="shared" si="17"/>
        <v>Valid</v>
      </c>
      <c r="AB77" s="9" t="str">
        <f t="shared" si="18"/>
        <v>Valid</v>
      </c>
      <c r="AC77" s="9" t="str">
        <f t="shared" si="19"/>
        <v>Valid</v>
      </c>
      <c r="AD77" s="9" t="str">
        <f>IF(AND(Y77="Valid",Z77="Valid",AA77="Valid",AB77="Valid",COUNTIF($A$2:A77,A77)=1),"Include","Exclude")</f>
        <v>Include</v>
      </c>
    </row>
    <row r="78" spans="1:30" x14ac:dyDescent="0.35">
      <c r="A78" t="s">
        <v>200</v>
      </c>
      <c r="B78" t="s">
        <v>201</v>
      </c>
      <c r="C78" t="s">
        <v>31</v>
      </c>
      <c r="D78">
        <v>39</v>
      </c>
      <c r="E78" t="s">
        <v>55</v>
      </c>
      <c r="F78" t="s">
        <v>23</v>
      </c>
      <c r="G78" t="s">
        <v>69</v>
      </c>
      <c r="H78" t="s">
        <v>34</v>
      </c>
      <c r="I78">
        <v>11</v>
      </c>
      <c r="J78">
        <v>66354</v>
      </c>
      <c r="K78" t="s">
        <v>45</v>
      </c>
      <c r="L78">
        <v>4</v>
      </c>
      <c r="M78">
        <v>36</v>
      </c>
      <c r="N78">
        <v>6</v>
      </c>
      <c r="O78" t="s">
        <v>28</v>
      </c>
      <c r="P78" t="s">
        <v>28</v>
      </c>
      <c r="Q78">
        <v>4</v>
      </c>
      <c r="R78" t="s">
        <v>27</v>
      </c>
      <c r="S78" t="s">
        <v>28</v>
      </c>
      <c r="T78" t="b">
        <f t="shared" si="10"/>
        <v>0</v>
      </c>
      <c r="U78" t="str">
        <f t="shared" si="11"/>
        <v>Employee_0077</v>
      </c>
      <c r="V78" t="str">
        <f t="shared" si="12"/>
        <v>Male</v>
      </c>
      <c r="W78" t="str">
        <f t="shared" si="13"/>
        <v>Finance</v>
      </c>
      <c r="X78" t="str">
        <f t="shared" si="14"/>
        <v>Gurgaon</v>
      </c>
      <c r="Y78" t="str">
        <f t="shared" si="15"/>
        <v>Valid</v>
      </c>
      <c r="Z78" t="str">
        <f t="shared" si="16"/>
        <v>Valid</v>
      </c>
      <c r="AA78" t="str">
        <f t="shared" si="17"/>
        <v>Valid</v>
      </c>
      <c r="AB78" s="9" t="str">
        <f t="shared" si="18"/>
        <v>Valid</v>
      </c>
      <c r="AC78" s="9" t="str">
        <f t="shared" si="19"/>
        <v>Valid</v>
      </c>
      <c r="AD78" s="9" t="str">
        <f>IF(AND(Y78="Valid",Z78="Valid",AA78="Valid",AB78="Valid",COUNTIF($A$2:A78,A78)=1),"Include","Exclude")</f>
        <v>Include</v>
      </c>
    </row>
    <row r="79" spans="1:30" x14ac:dyDescent="0.35">
      <c r="A79" t="s">
        <v>202</v>
      </c>
      <c r="B79" t="s">
        <v>203</v>
      </c>
      <c r="C79" t="s">
        <v>31</v>
      </c>
      <c r="D79">
        <v>22</v>
      </c>
      <c r="E79" t="s">
        <v>55</v>
      </c>
      <c r="F79" t="s">
        <v>33</v>
      </c>
      <c r="G79" t="s">
        <v>24</v>
      </c>
      <c r="H79" t="s">
        <v>61</v>
      </c>
      <c r="I79">
        <v>1</v>
      </c>
      <c r="J79">
        <v>47792</v>
      </c>
      <c r="K79" t="s">
        <v>45</v>
      </c>
      <c r="L79">
        <v>1</v>
      </c>
      <c r="M79">
        <v>9</v>
      </c>
      <c r="N79">
        <v>5</v>
      </c>
      <c r="O79" t="s">
        <v>28</v>
      </c>
      <c r="P79" t="s">
        <v>28</v>
      </c>
      <c r="Q79">
        <v>2</v>
      </c>
      <c r="R79" t="s">
        <v>27</v>
      </c>
      <c r="S79" t="s">
        <v>27</v>
      </c>
      <c r="T79" t="b">
        <f t="shared" si="10"/>
        <v>0</v>
      </c>
      <c r="U79" t="str">
        <f t="shared" si="11"/>
        <v>Employee_0078</v>
      </c>
      <c r="V79" t="str">
        <f t="shared" si="12"/>
        <v>Male</v>
      </c>
      <c r="W79" t="str">
        <f t="shared" si="13"/>
        <v>Sales</v>
      </c>
      <c r="X79" t="str">
        <f t="shared" si="14"/>
        <v>Noida</v>
      </c>
      <c r="Y79" t="str">
        <f t="shared" si="15"/>
        <v>Valid</v>
      </c>
      <c r="Z79" t="str">
        <f t="shared" si="16"/>
        <v>Valid</v>
      </c>
      <c r="AA79" t="str">
        <f t="shared" si="17"/>
        <v>Valid</v>
      </c>
      <c r="AB79" s="9" t="str">
        <f t="shared" si="18"/>
        <v>Valid</v>
      </c>
      <c r="AC79" s="9" t="str">
        <f t="shared" si="19"/>
        <v>Valid</v>
      </c>
      <c r="AD79" s="9" t="str">
        <f>IF(AND(Y79="Valid",Z79="Valid",AA79="Valid",AB79="Valid",COUNTIF($A$2:A79,A79)=1),"Include","Exclude")</f>
        <v>Include</v>
      </c>
    </row>
    <row r="80" spans="1:30" x14ac:dyDescent="0.35">
      <c r="A80" t="s">
        <v>204</v>
      </c>
      <c r="B80" t="s">
        <v>205</v>
      </c>
      <c r="C80" t="s">
        <v>21</v>
      </c>
      <c r="D80">
        <v>37</v>
      </c>
      <c r="E80" t="s">
        <v>55</v>
      </c>
      <c r="F80" t="s">
        <v>33</v>
      </c>
      <c r="G80" t="s">
        <v>24</v>
      </c>
      <c r="H80" t="s">
        <v>131</v>
      </c>
      <c r="I80">
        <v>6</v>
      </c>
      <c r="J80">
        <v>52588</v>
      </c>
      <c r="K80" t="s">
        <v>45</v>
      </c>
      <c r="L80">
        <v>7</v>
      </c>
      <c r="M80">
        <v>13</v>
      </c>
      <c r="N80">
        <v>5</v>
      </c>
      <c r="O80" t="s">
        <v>28</v>
      </c>
      <c r="P80" t="s">
        <v>28</v>
      </c>
      <c r="Q80">
        <v>3</v>
      </c>
      <c r="R80" t="s">
        <v>27</v>
      </c>
      <c r="S80" t="s">
        <v>27</v>
      </c>
      <c r="T80" t="b">
        <f t="shared" si="10"/>
        <v>0</v>
      </c>
      <c r="U80" t="str">
        <f t="shared" si="11"/>
        <v>Employee_0079</v>
      </c>
      <c r="V80" t="str">
        <f t="shared" si="12"/>
        <v>Female</v>
      </c>
      <c r="W80" t="str">
        <f t="shared" si="13"/>
        <v>Sales</v>
      </c>
      <c r="X80" t="str">
        <f t="shared" si="14"/>
        <v>Pune</v>
      </c>
      <c r="Y80" t="str">
        <f t="shared" si="15"/>
        <v>Valid</v>
      </c>
      <c r="Z80" t="str">
        <f t="shared" si="16"/>
        <v>Valid</v>
      </c>
      <c r="AA80" t="str">
        <f t="shared" si="17"/>
        <v>Valid</v>
      </c>
      <c r="AB80" s="9" t="str">
        <f t="shared" si="18"/>
        <v>Valid</v>
      </c>
      <c r="AC80" s="9" t="str">
        <f t="shared" si="19"/>
        <v>Valid</v>
      </c>
      <c r="AD80" s="9" t="str">
        <f>IF(AND(Y80="Valid",Z80="Valid",AA80="Valid",AB80="Valid",COUNTIF($A$2:A80,A80)=1),"Include","Exclude")</f>
        <v>Include</v>
      </c>
    </row>
    <row r="81" spans="1:30" x14ac:dyDescent="0.35">
      <c r="A81" t="s">
        <v>206</v>
      </c>
      <c r="B81" t="s">
        <v>207</v>
      </c>
      <c r="C81" t="s">
        <v>31</v>
      </c>
      <c r="D81">
        <v>35</v>
      </c>
      <c r="E81" t="s">
        <v>38</v>
      </c>
      <c r="F81" t="s">
        <v>23</v>
      </c>
      <c r="G81" t="s">
        <v>69</v>
      </c>
      <c r="H81" t="s">
        <v>25</v>
      </c>
      <c r="I81">
        <v>8</v>
      </c>
      <c r="J81">
        <v>66985</v>
      </c>
      <c r="K81" t="s">
        <v>26</v>
      </c>
      <c r="L81">
        <v>5</v>
      </c>
      <c r="M81">
        <v>52</v>
      </c>
      <c r="N81">
        <v>3</v>
      </c>
      <c r="O81" t="s">
        <v>27</v>
      </c>
      <c r="P81" t="s">
        <v>27</v>
      </c>
      <c r="Q81">
        <v>2</v>
      </c>
      <c r="R81" t="s">
        <v>28</v>
      </c>
      <c r="S81" t="s">
        <v>27</v>
      </c>
      <c r="T81" t="b">
        <f t="shared" si="10"/>
        <v>0</v>
      </c>
      <c r="U81" t="str">
        <f t="shared" si="11"/>
        <v>Employee_0080</v>
      </c>
      <c r="V81" t="str">
        <f t="shared" si="12"/>
        <v>Male</v>
      </c>
      <c r="W81" t="str">
        <f t="shared" si="13"/>
        <v>Finance</v>
      </c>
      <c r="X81" t="str">
        <f t="shared" si="14"/>
        <v>Hyderabad</v>
      </c>
      <c r="Y81" t="str">
        <f t="shared" si="15"/>
        <v>Valid</v>
      </c>
      <c r="Z81" t="str">
        <f t="shared" si="16"/>
        <v>Valid</v>
      </c>
      <c r="AA81" t="str">
        <f t="shared" si="17"/>
        <v>Valid</v>
      </c>
      <c r="AB81" s="9" t="str">
        <f t="shared" si="18"/>
        <v>Valid</v>
      </c>
      <c r="AC81" s="9" t="str">
        <f t="shared" si="19"/>
        <v>Valid</v>
      </c>
      <c r="AD81" s="9" t="str">
        <f>IF(AND(Y81="Valid",Z81="Valid",AA81="Valid",AB81="Valid",COUNTIF($A$2:A81,A81)=1),"Include","Exclude")</f>
        <v>Include</v>
      </c>
    </row>
    <row r="82" spans="1:30" x14ac:dyDescent="0.35">
      <c r="A82" t="s">
        <v>208</v>
      </c>
      <c r="B82" t="s">
        <v>209</v>
      </c>
      <c r="C82" t="s">
        <v>31</v>
      </c>
      <c r="D82">
        <v>31</v>
      </c>
      <c r="E82" t="s">
        <v>55</v>
      </c>
      <c r="F82" t="s">
        <v>39</v>
      </c>
      <c r="G82" t="s">
        <v>69</v>
      </c>
      <c r="H82" t="s">
        <v>61</v>
      </c>
      <c r="I82">
        <v>8</v>
      </c>
      <c r="J82">
        <v>55830</v>
      </c>
      <c r="K82" t="s">
        <v>40</v>
      </c>
      <c r="L82">
        <v>5</v>
      </c>
      <c r="M82">
        <v>26</v>
      </c>
      <c r="N82">
        <v>4</v>
      </c>
      <c r="O82" t="s">
        <v>27</v>
      </c>
      <c r="P82" t="s">
        <v>28</v>
      </c>
      <c r="Q82">
        <v>4</v>
      </c>
      <c r="R82" t="s">
        <v>27</v>
      </c>
      <c r="S82" t="s">
        <v>28</v>
      </c>
      <c r="T82" t="b">
        <f t="shared" si="10"/>
        <v>0</v>
      </c>
      <c r="U82" t="str">
        <f t="shared" si="11"/>
        <v>Employee_0081</v>
      </c>
      <c r="V82" t="str">
        <f t="shared" si="12"/>
        <v>Male</v>
      </c>
      <c r="W82" t="str">
        <f t="shared" si="13"/>
        <v>Operations</v>
      </c>
      <c r="X82" t="str">
        <f t="shared" si="14"/>
        <v>Noida</v>
      </c>
      <c r="Y82" t="str">
        <f t="shared" si="15"/>
        <v>Valid</v>
      </c>
      <c r="Z82" t="str">
        <f t="shared" si="16"/>
        <v>Valid</v>
      </c>
      <c r="AA82" t="str">
        <f t="shared" si="17"/>
        <v>Valid</v>
      </c>
      <c r="AB82" s="9" t="str">
        <f t="shared" si="18"/>
        <v>Valid</v>
      </c>
      <c r="AC82" s="9" t="str">
        <f t="shared" si="19"/>
        <v>Valid</v>
      </c>
      <c r="AD82" s="9" t="str">
        <f>IF(AND(Y82="Valid",Z82="Valid",AA82="Valid",AB82="Valid",COUNTIF($A$2:A82,A82)=1),"Include","Exclude")</f>
        <v>Include</v>
      </c>
    </row>
    <row r="83" spans="1:30" x14ac:dyDescent="0.35">
      <c r="A83" t="s">
        <v>210</v>
      </c>
      <c r="B83" t="s">
        <v>211</v>
      </c>
      <c r="C83" t="s">
        <v>31</v>
      </c>
      <c r="D83">
        <v>48</v>
      </c>
      <c r="E83" t="s">
        <v>55</v>
      </c>
      <c r="F83" t="s">
        <v>33</v>
      </c>
      <c r="G83" t="s">
        <v>69</v>
      </c>
      <c r="H83" t="s">
        <v>131</v>
      </c>
      <c r="I83">
        <v>21</v>
      </c>
      <c r="J83">
        <v>66431</v>
      </c>
      <c r="K83" t="s">
        <v>26</v>
      </c>
      <c r="L83">
        <v>6</v>
      </c>
      <c r="M83">
        <v>57</v>
      </c>
      <c r="N83">
        <v>4</v>
      </c>
      <c r="O83" t="s">
        <v>28</v>
      </c>
      <c r="P83" t="s">
        <v>27</v>
      </c>
      <c r="Q83">
        <v>1</v>
      </c>
      <c r="R83" t="s">
        <v>27</v>
      </c>
      <c r="S83" t="s">
        <v>27</v>
      </c>
      <c r="T83" t="b">
        <f t="shared" si="10"/>
        <v>0</v>
      </c>
      <c r="U83" t="str">
        <f t="shared" si="11"/>
        <v>Employee_0082</v>
      </c>
      <c r="V83" t="str">
        <f t="shared" si="12"/>
        <v>Male</v>
      </c>
      <c r="W83" t="str">
        <f t="shared" si="13"/>
        <v>Sales</v>
      </c>
      <c r="X83" t="str">
        <f t="shared" si="14"/>
        <v>Pune</v>
      </c>
      <c r="Y83" t="str">
        <f t="shared" si="15"/>
        <v>Valid</v>
      </c>
      <c r="Z83" t="str">
        <f t="shared" si="16"/>
        <v>Valid</v>
      </c>
      <c r="AA83" t="str">
        <f t="shared" si="17"/>
        <v>Valid</v>
      </c>
      <c r="AB83" s="9" t="str">
        <f t="shared" si="18"/>
        <v>Valid</v>
      </c>
      <c r="AC83" s="9" t="str">
        <f t="shared" si="19"/>
        <v>Valid</v>
      </c>
      <c r="AD83" s="9" t="str">
        <f>IF(AND(Y83="Valid",Z83="Valid",AA83="Valid",AB83="Valid",COUNTIF($A$2:A83,A83)=1),"Include","Exclude")</f>
        <v>Include</v>
      </c>
    </row>
    <row r="84" spans="1:30" x14ac:dyDescent="0.35">
      <c r="A84" t="s">
        <v>212</v>
      </c>
      <c r="B84" t="s">
        <v>213</v>
      </c>
      <c r="C84" t="s">
        <v>21</v>
      </c>
      <c r="D84">
        <v>46</v>
      </c>
      <c r="E84" t="s">
        <v>55</v>
      </c>
      <c r="F84" t="s">
        <v>33</v>
      </c>
      <c r="G84" t="s">
        <v>24</v>
      </c>
      <c r="H84" t="s">
        <v>131</v>
      </c>
      <c r="I84">
        <v>10</v>
      </c>
      <c r="J84">
        <v>62023</v>
      </c>
      <c r="K84" t="s">
        <v>45</v>
      </c>
      <c r="L84">
        <v>4</v>
      </c>
      <c r="M84">
        <v>24</v>
      </c>
      <c r="N84">
        <v>4</v>
      </c>
      <c r="O84" t="s">
        <v>27</v>
      </c>
      <c r="P84" t="s">
        <v>28</v>
      </c>
      <c r="Q84">
        <v>2</v>
      </c>
      <c r="R84" t="s">
        <v>27</v>
      </c>
      <c r="S84" t="s">
        <v>27</v>
      </c>
      <c r="T84" t="b">
        <f t="shared" si="10"/>
        <v>0</v>
      </c>
      <c r="U84" t="str">
        <f t="shared" si="11"/>
        <v>Employee_0083</v>
      </c>
      <c r="V84" t="str">
        <f t="shared" si="12"/>
        <v>Female</v>
      </c>
      <c r="W84" t="str">
        <f t="shared" si="13"/>
        <v>Sales</v>
      </c>
      <c r="X84" t="str">
        <f t="shared" si="14"/>
        <v>Pune</v>
      </c>
      <c r="Y84" t="str">
        <f t="shared" si="15"/>
        <v>Valid</v>
      </c>
      <c r="Z84" t="str">
        <f t="shared" si="16"/>
        <v>Valid</v>
      </c>
      <c r="AA84" t="str">
        <f t="shared" si="17"/>
        <v>Valid</v>
      </c>
      <c r="AB84" s="9" t="str">
        <f t="shared" si="18"/>
        <v>Valid</v>
      </c>
      <c r="AC84" s="9" t="str">
        <f t="shared" si="19"/>
        <v>Valid</v>
      </c>
      <c r="AD84" s="9" t="str">
        <f>IF(AND(Y84="Valid",Z84="Valid",AA84="Valid",AB84="Valid",COUNTIF($A$2:A84,A84)=1),"Include","Exclude")</f>
        <v>Include</v>
      </c>
    </row>
    <row r="85" spans="1:30" x14ac:dyDescent="0.35">
      <c r="A85" t="s">
        <v>214</v>
      </c>
      <c r="B85" t="s">
        <v>215</v>
      </c>
      <c r="C85" t="s">
        <v>21</v>
      </c>
      <c r="D85">
        <v>21</v>
      </c>
      <c r="E85" t="s">
        <v>32</v>
      </c>
      <c r="F85" t="s">
        <v>39</v>
      </c>
      <c r="G85" t="s">
        <v>69</v>
      </c>
      <c r="H85" t="s">
        <v>34</v>
      </c>
      <c r="I85">
        <v>0</v>
      </c>
      <c r="J85">
        <v>44443</v>
      </c>
      <c r="K85" t="s">
        <v>45</v>
      </c>
      <c r="L85">
        <v>8</v>
      </c>
      <c r="M85">
        <v>28</v>
      </c>
      <c r="N85">
        <v>6</v>
      </c>
      <c r="O85" t="s">
        <v>27</v>
      </c>
      <c r="P85" t="s">
        <v>27</v>
      </c>
      <c r="Q85">
        <v>3</v>
      </c>
      <c r="R85" t="s">
        <v>28</v>
      </c>
      <c r="S85" t="s">
        <v>27</v>
      </c>
      <c r="T85" t="b">
        <f t="shared" si="10"/>
        <v>0</v>
      </c>
      <c r="U85" t="str">
        <f t="shared" si="11"/>
        <v>Employee_0084</v>
      </c>
      <c r="V85" t="str">
        <f t="shared" si="12"/>
        <v>Female</v>
      </c>
      <c r="W85" t="str">
        <f t="shared" si="13"/>
        <v>Operations</v>
      </c>
      <c r="X85" t="str">
        <f t="shared" si="14"/>
        <v>Gurgaon</v>
      </c>
      <c r="Y85" t="str">
        <f t="shared" si="15"/>
        <v>Valid</v>
      </c>
      <c r="Z85" t="str">
        <f t="shared" si="16"/>
        <v>Valid</v>
      </c>
      <c r="AA85" t="str">
        <f t="shared" si="17"/>
        <v>Valid</v>
      </c>
      <c r="AB85" s="9" t="str">
        <f t="shared" si="18"/>
        <v>Valid</v>
      </c>
      <c r="AC85" s="9" t="str">
        <f t="shared" si="19"/>
        <v>Valid</v>
      </c>
      <c r="AD85" s="9" t="str">
        <f>IF(AND(Y85="Valid",Z85="Valid",AA85="Valid",AB85="Valid",COUNTIF($A$2:A85,A85)=1),"Include","Exclude")</f>
        <v>Include</v>
      </c>
    </row>
    <row r="86" spans="1:30" x14ac:dyDescent="0.35">
      <c r="A86" t="s">
        <v>216</v>
      </c>
      <c r="B86" t="s">
        <v>217</v>
      </c>
      <c r="C86" t="s">
        <v>31</v>
      </c>
      <c r="D86">
        <v>52</v>
      </c>
      <c r="E86" t="s">
        <v>55</v>
      </c>
      <c r="F86" t="s">
        <v>39</v>
      </c>
      <c r="G86" t="s">
        <v>24</v>
      </c>
      <c r="H86" t="s">
        <v>61</v>
      </c>
      <c r="I86">
        <v>21</v>
      </c>
      <c r="J86">
        <v>66584</v>
      </c>
      <c r="K86" t="s">
        <v>35</v>
      </c>
      <c r="L86">
        <v>9</v>
      </c>
      <c r="M86">
        <v>21</v>
      </c>
      <c r="N86">
        <v>6</v>
      </c>
      <c r="O86" t="s">
        <v>27</v>
      </c>
      <c r="P86" t="s">
        <v>28</v>
      </c>
      <c r="Q86">
        <v>4</v>
      </c>
      <c r="R86" t="s">
        <v>27</v>
      </c>
      <c r="S86" t="s">
        <v>27</v>
      </c>
      <c r="T86" t="b">
        <f t="shared" si="10"/>
        <v>0</v>
      </c>
      <c r="U86" t="str">
        <f t="shared" si="11"/>
        <v>Employee_0085</v>
      </c>
      <c r="V86" t="str">
        <f t="shared" si="12"/>
        <v>Male</v>
      </c>
      <c r="W86" t="str">
        <f t="shared" si="13"/>
        <v>Operations</v>
      </c>
      <c r="X86" t="str">
        <f t="shared" si="14"/>
        <v>Noida</v>
      </c>
      <c r="Y86" t="str">
        <f t="shared" si="15"/>
        <v>Valid</v>
      </c>
      <c r="Z86" t="str">
        <f t="shared" si="16"/>
        <v>Valid</v>
      </c>
      <c r="AA86" t="str">
        <f t="shared" si="17"/>
        <v>Valid</v>
      </c>
      <c r="AB86" s="9" t="str">
        <f t="shared" si="18"/>
        <v>Valid</v>
      </c>
      <c r="AC86" s="9" t="str">
        <f t="shared" si="19"/>
        <v>Valid</v>
      </c>
      <c r="AD86" s="9" t="str">
        <f>IF(AND(Y86="Valid",Z86="Valid",AA86="Valid",AB86="Valid",COUNTIF($A$2:A86,A86)=1),"Include","Exclude")</f>
        <v>Include</v>
      </c>
    </row>
    <row r="87" spans="1:30" x14ac:dyDescent="0.35">
      <c r="A87" t="s">
        <v>218</v>
      </c>
      <c r="B87" t="s">
        <v>219</v>
      </c>
      <c r="C87" t="s">
        <v>21</v>
      </c>
      <c r="D87">
        <v>31</v>
      </c>
      <c r="E87" t="s">
        <v>55</v>
      </c>
      <c r="F87" t="s">
        <v>39</v>
      </c>
      <c r="G87" t="s">
        <v>24</v>
      </c>
      <c r="H87" t="s">
        <v>131</v>
      </c>
      <c r="I87">
        <v>7</v>
      </c>
      <c r="J87">
        <v>53383</v>
      </c>
      <c r="K87" t="s">
        <v>45</v>
      </c>
      <c r="L87">
        <v>6</v>
      </c>
      <c r="M87">
        <v>14</v>
      </c>
      <c r="N87">
        <v>1</v>
      </c>
      <c r="O87" t="s">
        <v>28</v>
      </c>
      <c r="P87" t="s">
        <v>28</v>
      </c>
      <c r="Q87">
        <v>4</v>
      </c>
      <c r="R87" t="s">
        <v>27</v>
      </c>
      <c r="S87" t="s">
        <v>27</v>
      </c>
      <c r="T87" t="b">
        <f t="shared" si="10"/>
        <v>0</v>
      </c>
      <c r="U87" t="str">
        <f t="shared" si="11"/>
        <v>Employee_0086</v>
      </c>
      <c r="V87" t="str">
        <f t="shared" si="12"/>
        <v>Female</v>
      </c>
      <c r="W87" t="str">
        <f t="shared" si="13"/>
        <v>Operations</v>
      </c>
      <c r="X87" t="str">
        <f t="shared" si="14"/>
        <v>Pune</v>
      </c>
      <c r="Y87" t="str">
        <f t="shared" si="15"/>
        <v>Valid</v>
      </c>
      <c r="Z87" t="str">
        <f t="shared" si="16"/>
        <v>Valid</v>
      </c>
      <c r="AA87" t="str">
        <f t="shared" si="17"/>
        <v>Valid</v>
      </c>
      <c r="AB87" s="9" t="str">
        <f t="shared" si="18"/>
        <v>Valid</v>
      </c>
      <c r="AC87" s="9" t="str">
        <f t="shared" si="19"/>
        <v>Valid</v>
      </c>
      <c r="AD87" s="9" t="str">
        <f>IF(AND(Y87="Valid",Z87="Valid",AA87="Valid",AB87="Valid",COUNTIF($A$2:A87,A87)=1),"Include","Exclude")</f>
        <v>Include</v>
      </c>
    </row>
    <row r="88" spans="1:30" x14ac:dyDescent="0.35">
      <c r="A88" t="s">
        <v>220</v>
      </c>
      <c r="B88" t="s">
        <v>221</v>
      </c>
      <c r="C88" t="s">
        <v>31</v>
      </c>
      <c r="D88">
        <v>23</v>
      </c>
      <c r="E88" t="s">
        <v>22</v>
      </c>
      <c r="F88" t="s">
        <v>39</v>
      </c>
      <c r="G88" t="s">
        <v>24</v>
      </c>
      <c r="H88" t="s">
        <v>34</v>
      </c>
      <c r="I88">
        <v>2</v>
      </c>
      <c r="J88">
        <v>61019</v>
      </c>
      <c r="K88" t="s">
        <v>45</v>
      </c>
      <c r="L88">
        <v>2</v>
      </c>
      <c r="M88">
        <v>16</v>
      </c>
      <c r="N88">
        <v>7</v>
      </c>
      <c r="O88" t="s">
        <v>28</v>
      </c>
      <c r="P88" t="s">
        <v>28</v>
      </c>
      <c r="Q88">
        <v>5</v>
      </c>
      <c r="R88" t="s">
        <v>27</v>
      </c>
      <c r="S88" t="s">
        <v>27</v>
      </c>
      <c r="T88" t="b">
        <f t="shared" si="10"/>
        <v>0</v>
      </c>
      <c r="U88" t="str">
        <f t="shared" si="11"/>
        <v>Employee_0087</v>
      </c>
      <c r="V88" t="str">
        <f t="shared" si="12"/>
        <v>Male</v>
      </c>
      <c r="W88" t="str">
        <f t="shared" si="13"/>
        <v>Operations</v>
      </c>
      <c r="X88" t="str">
        <f t="shared" si="14"/>
        <v>Gurgaon</v>
      </c>
      <c r="Y88" t="str">
        <f t="shared" si="15"/>
        <v>Valid</v>
      </c>
      <c r="Z88" t="str">
        <f t="shared" si="16"/>
        <v>Valid</v>
      </c>
      <c r="AA88" t="str">
        <f t="shared" si="17"/>
        <v>Valid</v>
      </c>
      <c r="AB88" s="9" t="str">
        <f t="shared" si="18"/>
        <v>Valid</v>
      </c>
      <c r="AC88" s="9" t="str">
        <f t="shared" si="19"/>
        <v>Valid</v>
      </c>
      <c r="AD88" s="9" t="str">
        <f>IF(AND(Y88="Valid",Z88="Valid",AA88="Valid",AB88="Valid",COUNTIF($A$2:A88,A88)=1),"Include","Exclude")</f>
        <v>Include</v>
      </c>
    </row>
    <row r="89" spans="1:30" x14ac:dyDescent="0.35">
      <c r="A89" t="s">
        <v>222</v>
      </c>
      <c r="B89" t="s">
        <v>223</v>
      </c>
      <c r="C89" t="s">
        <v>21</v>
      </c>
      <c r="D89">
        <v>29</v>
      </c>
      <c r="E89" t="s">
        <v>32</v>
      </c>
      <c r="F89" t="s">
        <v>48</v>
      </c>
      <c r="G89" t="s">
        <v>24</v>
      </c>
      <c r="H89" t="s">
        <v>52</v>
      </c>
      <c r="I89">
        <v>5</v>
      </c>
      <c r="J89">
        <v>37181</v>
      </c>
      <c r="K89" t="s">
        <v>45</v>
      </c>
      <c r="L89">
        <v>5</v>
      </c>
      <c r="M89">
        <v>33</v>
      </c>
      <c r="N89">
        <v>1</v>
      </c>
      <c r="O89" t="s">
        <v>28</v>
      </c>
      <c r="P89" t="s">
        <v>27</v>
      </c>
      <c r="Q89">
        <v>4</v>
      </c>
      <c r="R89" t="s">
        <v>28</v>
      </c>
      <c r="S89" t="s">
        <v>27</v>
      </c>
      <c r="T89" t="b">
        <f t="shared" si="10"/>
        <v>0</v>
      </c>
      <c r="U89" t="str">
        <f t="shared" si="11"/>
        <v>Employee_0088</v>
      </c>
      <c r="V89" t="str">
        <f t="shared" si="12"/>
        <v>Female</v>
      </c>
      <c r="W89" t="str">
        <f t="shared" si="13"/>
        <v>Customer Support</v>
      </c>
      <c r="X89" t="str">
        <f t="shared" si="14"/>
        <v>Mumbai</v>
      </c>
      <c r="Y89" t="str">
        <f t="shared" si="15"/>
        <v>Valid</v>
      </c>
      <c r="Z89" t="str">
        <f t="shared" si="16"/>
        <v>Valid</v>
      </c>
      <c r="AA89" t="str">
        <f t="shared" si="17"/>
        <v>Valid</v>
      </c>
      <c r="AB89" s="9" t="str">
        <f t="shared" si="18"/>
        <v>Valid</v>
      </c>
      <c r="AC89" s="9" t="str">
        <f t="shared" si="19"/>
        <v>Valid</v>
      </c>
      <c r="AD89" s="9" t="str">
        <f>IF(AND(Y89="Valid",Z89="Valid",AA89="Valid",AB89="Valid",COUNTIF($A$2:A89,A89)=1),"Include","Exclude")</f>
        <v>Include</v>
      </c>
    </row>
    <row r="90" spans="1:30" x14ac:dyDescent="0.35">
      <c r="A90" t="s">
        <v>224</v>
      </c>
      <c r="B90" t="s">
        <v>225</v>
      </c>
      <c r="C90" t="s">
        <v>21</v>
      </c>
      <c r="D90">
        <v>41</v>
      </c>
      <c r="E90" t="s">
        <v>55</v>
      </c>
      <c r="F90" t="s">
        <v>33</v>
      </c>
      <c r="G90" t="s">
        <v>24</v>
      </c>
      <c r="H90" t="s">
        <v>25</v>
      </c>
      <c r="I90">
        <v>8</v>
      </c>
      <c r="J90">
        <v>54007</v>
      </c>
      <c r="K90" t="s">
        <v>45</v>
      </c>
      <c r="L90">
        <v>7</v>
      </c>
      <c r="M90">
        <v>37</v>
      </c>
      <c r="N90">
        <v>4</v>
      </c>
      <c r="O90" t="s">
        <v>28</v>
      </c>
      <c r="P90" t="s">
        <v>28</v>
      </c>
      <c r="Q90">
        <v>4</v>
      </c>
      <c r="R90" t="s">
        <v>28</v>
      </c>
      <c r="S90" t="s">
        <v>28</v>
      </c>
      <c r="T90" t="b">
        <f t="shared" si="10"/>
        <v>0</v>
      </c>
      <c r="U90" t="str">
        <f t="shared" si="11"/>
        <v>Employee_0089</v>
      </c>
      <c r="V90" t="str">
        <f t="shared" si="12"/>
        <v>Female</v>
      </c>
      <c r="W90" t="str">
        <f t="shared" si="13"/>
        <v>Sales</v>
      </c>
      <c r="X90" t="str">
        <f t="shared" si="14"/>
        <v>Hyderabad</v>
      </c>
      <c r="Y90" t="str">
        <f t="shared" si="15"/>
        <v>Valid</v>
      </c>
      <c r="Z90" t="str">
        <f t="shared" si="16"/>
        <v>Valid</v>
      </c>
      <c r="AA90" t="str">
        <f t="shared" si="17"/>
        <v>Valid</v>
      </c>
      <c r="AB90" s="9" t="str">
        <f t="shared" si="18"/>
        <v>Valid</v>
      </c>
      <c r="AC90" s="9" t="str">
        <f t="shared" si="19"/>
        <v>Valid</v>
      </c>
      <c r="AD90" s="9" t="str">
        <f>IF(AND(Y90="Valid",Z90="Valid",AA90="Valid",AB90="Valid",COUNTIF($A$2:A90,A90)=1),"Include","Exclude")</f>
        <v>Include</v>
      </c>
    </row>
    <row r="91" spans="1:30" x14ac:dyDescent="0.35">
      <c r="A91" t="s">
        <v>226</v>
      </c>
      <c r="B91" t="s">
        <v>227</v>
      </c>
      <c r="C91" t="s">
        <v>21</v>
      </c>
      <c r="D91">
        <v>54</v>
      </c>
      <c r="E91" t="s">
        <v>22</v>
      </c>
      <c r="F91" t="s">
        <v>23</v>
      </c>
      <c r="G91" t="s">
        <v>69</v>
      </c>
      <c r="H91" t="s">
        <v>131</v>
      </c>
      <c r="I91">
        <v>26</v>
      </c>
      <c r="J91">
        <v>74803</v>
      </c>
      <c r="K91" t="s">
        <v>35</v>
      </c>
      <c r="L91">
        <v>7</v>
      </c>
      <c r="M91">
        <v>13</v>
      </c>
      <c r="N91">
        <v>7</v>
      </c>
      <c r="O91" t="s">
        <v>28</v>
      </c>
      <c r="P91" t="s">
        <v>27</v>
      </c>
      <c r="Q91">
        <v>5</v>
      </c>
      <c r="R91" t="s">
        <v>28</v>
      </c>
      <c r="S91" t="s">
        <v>27</v>
      </c>
      <c r="T91" t="b">
        <f t="shared" si="10"/>
        <v>0</v>
      </c>
      <c r="U91" t="str">
        <f t="shared" si="11"/>
        <v>Employee_0090</v>
      </c>
      <c r="V91" t="str">
        <f t="shared" si="12"/>
        <v>Female</v>
      </c>
      <c r="W91" t="str">
        <f t="shared" si="13"/>
        <v>Finance</v>
      </c>
      <c r="X91" t="str">
        <f t="shared" si="14"/>
        <v>Pune</v>
      </c>
      <c r="Y91" t="str">
        <f t="shared" si="15"/>
        <v>Valid</v>
      </c>
      <c r="Z91" t="str">
        <f t="shared" si="16"/>
        <v>Valid</v>
      </c>
      <c r="AA91" t="str">
        <f t="shared" si="17"/>
        <v>Valid</v>
      </c>
      <c r="AB91" s="9" t="str">
        <f t="shared" si="18"/>
        <v>Valid</v>
      </c>
      <c r="AC91" s="9" t="str">
        <f t="shared" si="19"/>
        <v>Valid</v>
      </c>
      <c r="AD91" s="9" t="str">
        <f>IF(AND(Y91="Valid",Z91="Valid",AA91="Valid",AB91="Valid",COUNTIF($A$2:A91,A91)=1),"Include","Exclude")</f>
        <v>Include</v>
      </c>
    </row>
    <row r="92" spans="1:30" x14ac:dyDescent="0.35">
      <c r="A92" t="s">
        <v>228</v>
      </c>
      <c r="B92" t="s">
        <v>229</v>
      </c>
      <c r="C92" t="s">
        <v>21</v>
      </c>
      <c r="D92">
        <v>55</v>
      </c>
      <c r="E92" t="s">
        <v>55</v>
      </c>
      <c r="F92" t="s">
        <v>43</v>
      </c>
      <c r="G92" t="s">
        <v>24</v>
      </c>
      <c r="H92" t="s">
        <v>25</v>
      </c>
      <c r="I92">
        <v>15</v>
      </c>
      <c r="J92">
        <v>82000</v>
      </c>
      <c r="K92" t="s">
        <v>45</v>
      </c>
      <c r="L92">
        <v>1</v>
      </c>
      <c r="M92">
        <v>38</v>
      </c>
      <c r="N92">
        <v>4</v>
      </c>
      <c r="O92" t="s">
        <v>27</v>
      </c>
      <c r="P92" t="s">
        <v>28</v>
      </c>
      <c r="Q92">
        <v>4</v>
      </c>
      <c r="R92" t="s">
        <v>27</v>
      </c>
      <c r="S92" t="s">
        <v>27</v>
      </c>
      <c r="T92" t="b">
        <f t="shared" si="10"/>
        <v>0</v>
      </c>
      <c r="U92" t="str">
        <f t="shared" si="11"/>
        <v>Employee_0091</v>
      </c>
      <c r="V92" t="str">
        <f t="shared" si="12"/>
        <v>Female</v>
      </c>
      <c r="W92" t="str">
        <f t="shared" si="13"/>
        <v>It</v>
      </c>
      <c r="X92" t="str">
        <f t="shared" si="14"/>
        <v>Hyderabad</v>
      </c>
      <c r="Y92" t="str">
        <f t="shared" si="15"/>
        <v>Valid</v>
      </c>
      <c r="Z92" t="str">
        <f t="shared" si="16"/>
        <v>Valid</v>
      </c>
      <c r="AA92" t="str">
        <f t="shared" si="17"/>
        <v>Valid</v>
      </c>
      <c r="AB92" s="9" t="str">
        <f t="shared" si="18"/>
        <v>Valid</v>
      </c>
      <c r="AC92" s="9" t="str">
        <f t="shared" si="19"/>
        <v>Valid</v>
      </c>
      <c r="AD92" s="9" t="str">
        <f>IF(AND(Y92="Valid",Z92="Valid",AA92="Valid",AB92="Valid",COUNTIF($A$2:A92,A92)=1),"Include","Exclude")</f>
        <v>Include</v>
      </c>
    </row>
    <row r="93" spans="1:30" x14ac:dyDescent="0.35">
      <c r="A93" t="s">
        <v>230</v>
      </c>
      <c r="B93" t="s">
        <v>231</v>
      </c>
      <c r="C93" t="s">
        <v>21</v>
      </c>
      <c r="D93">
        <v>50</v>
      </c>
      <c r="E93" t="s">
        <v>38</v>
      </c>
      <c r="F93" t="s">
        <v>33</v>
      </c>
      <c r="G93" t="s">
        <v>24</v>
      </c>
      <c r="H93" t="s">
        <v>49</v>
      </c>
      <c r="I93">
        <v>12</v>
      </c>
      <c r="J93">
        <v>69029</v>
      </c>
      <c r="K93" t="s">
        <v>45</v>
      </c>
      <c r="L93">
        <v>7</v>
      </c>
      <c r="M93">
        <v>28</v>
      </c>
      <c r="N93">
        <v>4</v>
      </c>
      <c r="O93" t="s">
        <v>27</v>
      </c>
      <c r="P93" t="s">
        <v>28</v>
      </c>
      <c r="Q93">
        <v>2</v>
      </c>
      <c r="R93" t="s">
        <v>27</v>
      </c>
      <c r="S93" t="s">
        <v>27</v>
      </c>
      <c r="T93" t="b">
        <f t="shared" si="10"/>
        <v>0</v>
      </c>
      <c r="U93" t="str">
        <f t="shared" si="11"/>
        <v>Employee_0092</v>
      </c>
      <c r="V93" t="str">
        <f t="shared" si="12"/>
        <v>Female</v>
      </c>
      <c r="W93" t="str">
        <f t="shared" si="13"/>
        <v>Sales</v>
      </c>
      <c r="X93" t="str">
        <f t="shared" si="14"/>
        <v>Delhi</v>
      </c>
      <c r="Y93" t="str">
        <f t="shared" si="15"/>
        <v>Valid</v>
      </c>
      <c r="Z93" t="str">
        <f t="shared" si="16"/>
        <v>Valid</v>
      </c>
      <c r="AA93" t="str">
        <f t="shared" si="17"/>
        <v>Valid</v>
      </c>
      <c r="AB93" s="9" t="str">
        <f t="shared" si="18"/>
        <v>Valid</v>
      </c>
      <c r="AC93" s="9" t="str">
        <f t="shared" si="19"/>
        <v>Valid</v>
      </c>
      <c r="AD93" s="9" t="str">
        <f>IF(AND(Y93="Valid",Z93="Valid",AA93="Valid",AB93="Valid",COUNTIF($A$2:A93,A93)=1),"Include","Exclude")</f>
        <v>Include</v>
      </c>
    </row>
    <row r="94" spans="1:30" x14ac:dyDescent="0.35">
      <c r="A94" t="s">
        <v>232</v>
      </c>
      <c r="B94" t="s">
        <v>233</v>
      </c>
      <c r="C94" t="s">
        <v>31</v>
      </c>
      <c r="D94">
        <v>25</v>
      </c>
      <c r="E94" t="s">
        <v>55</v>
      </c>
      <c r="F94" t="s">
        <v>60</v>
      </c>
      <c r="G94" t="s">
        <v>24</v>
      </c>
      <c r="H94" t="s">
        <v>49</v>
      </c>
      <c r="I94">
        <v>3</v>
      </c>
      <c r="J94">
        <v>55537</v>
      </c>
      <c r="K94" t="s">
        <v>26</v>
      </c>
      <c r="L94">
        <v>2</v>
      </c>
      <c r="M94">
        <v>5</v>
      </c>
      <c r="N94">
        <v>5</v>
      </c>
      <c r="O94" t="s">
        <v>27</v>
      </c>
      <c r="P94" t="s">
        <v>27</v>
      </c>
      <c r="Q94">
        <v>4</v>
      </c>
      <c r="R94" t="s">
        <v>27</v>
      </c>
      <c r="S94" t="s">
        <v>28</v>
      </c>
      <c r="T94" t="b">
        <f t="shared" si="10"/>
        <v>0</v>
      </c>
      <c r="U94" t="str">
        <f t="shared" si="11"/>
        <v>Employee_0093</v>
      </c>
      <c r="V94" t="str">
        <f t="shared" si="12"/>
        <v>Male</v>
      </c>
      <c r="W94" t="str">
        <f t="shared" si="13"/>
        <v>Hr</v>
      </c>
      <c r="X94" t="str">
        <f t="shared" si="14"/>
        <v>Delhi</v>
      </c>
      <c r="Y94" t="str">
        <f t="shared" si="15"/>
        <v>Valid</v>
      </c>
      <c r="Z94" t="str">
        <f t="shared" si="16"/>
        <v>Valid</v>
      </c>
      <c r="AA94" t="str">
        <f t="shared" si="17"/>
        <v>Valid</v>
      </c>
      <c r="AB94" s="9" t="str">
        <f t="shared" si="18"/>
        <v>Valid</v>
      </c>
      <c r="AC94" s="9" t="str">
        <f t="shared" si="19"/>
        <v>Valid</v>
      </c>
      <c r="AD94" s="9" t="str">
        <f>IF(AND(Y94="Valid",Z94="Valid",AA94="Valid",AB94="Valid",COUNTIF($A$2:A94,A94)=1),"Include","Exclude")</f>
        <v>Include</v>
      </c>
    </row>
    <row r="95" spans="1:30" x14ac:dyDescent="0.35">
      <c r="A95" t="s">
        <v>234</v>
      </c>
      <c r="B95" t="s">
        <v>235</v>
      </c>
      <c r="C95" t="s">
        <v>21</v>
      </c>
      <c r="D95">
        <v>40</v>
      </c>
      <c r="E95" t="s">
        <v>38</v>
      </c>
      <c r="F95" t="s">
        <v>39</v>
      </c>
      <c r="G95" t="s">
        <v>24</v>
      </c>
      <c r="H95" t="s">
        <v>61</v>
      </c>
      <c r="I95">
        <v>15</v>
      </c>
      <c r="J95">
        <v>61035</v>
      </c>
      <c r="K95" t="s">
        <v>45</v>
      </c>
      <c r="L95">
        <v>2</v>
      </c>
      <c r="M95">
        <v>17</v>
      </c>
      <c r="N95">
        <v>6</v>
      </c>
      <c r="O95" t="s">
        <v>28</v>
      </c>
      <c r="P95" t="s">
        <v>28</v>
      </c>
      <c r="Q95">
        <v>1</v>
      </c>
      <c r="R95" t="s">
        <v>27</v>
      </c>
      <c r="S95" t="s">
        <v>27</v>
      </c>
      <c r="T95" t="b">
        <f t="shared" si="10"/>
        <v>0</v>
      </c>
      <c r="U95" t="str">
        <f t="shared" si="11"/>
        <v>Employee_0094</v>
      </c>
      <c r="V95" t="str">
        <f t="shared" si="12"/>
        <v>Female</v>
      </c>
      <c r="W95" t="str">
        <f t="shared" si="13"/>
        <v>Operations</v>
      </c>
      <c r="X95" t="str">
        <f t="shared" si="14"/>
        <v>Noida</v>
      </c>
      <c r="Y95" t="str">
        <f t="shared" si="15"/>
        <v>Valid</v>
      </c>
      <c r="Z95" t="str">
        <f t="shared" si="16"/>
        <v>Valid</v>
      </c>
      <c r="AA95" t="str">
        <f t="shared" si="17"/>
        <v>Valid</v>
      </c>
      <c r="AB95" s="9" t="str">
        <f t="shared" si="18"/>
        <v>Valid</v>
      </c>
      <c r="AC95" s="9" t="str">
        <f t="shared" si="19"/>
        <v>Valid</v>
      </c>
      <c r="AD95" s="9" t="str">
        <f>IF(AND(Y95="Valid",Z95="Valid",AA95="Valid",AB95="Valid",COUNTIF($A$2:A95,A95)=1),"Include","Exclude")</f>
        <v>Include</v>
      </c>
    </row>
    <row r="96" spans="1:30" x14ac:dyDescent="0.35">
      <c r="A96" t="s">
        <v>236</v>
      </c>
      <c r="B96" t="s">
        <v>237</v>
      </c>
      <c r="C96" t="s">
        <v>31</v>
      </c>
      <c r="D96">
        <v>36</v>
      </c>
      <c r="E96" t="s">
        <v>55</v>
      </c>
      <c r="F96" t="s">
        <v>43</v>
      </c>
      <c r="G96" t="s">
        <v>24</v>
      </c>
      <c r="H96" t="s">
        <v>52</v>
      </c>
      <c r="I96">
        <v>12</v>
      </c>
      <c r="J96">
        <v>74457</v>
      </c>
      <c r="K96" t="s">
        <v>45</v>
      </c>
      <c r="L96">
        <v>7</v>
      </c>
      <c r="M96">
        <v>12</v>
      </c>
      <c r="N96">
        <v>5</v>
      </c>
      <c r="O96" t="s">
        <v>28</v>
      </c>
      <c r="P96" t="s">
        <v>28</v>
      </c>
      <c r="Q96">
        <v>1</v>
      </c>
      <c r="R96" t="s">
        <v>27</v>
      </c>
      <c r="S96" t="s">
        <v>27</v>
      </c>
      <c r="T96" t="b">
        <f t="shared" si="10"/>
        <v>0</v>
      </c>
      <c r="U96" t="str">
        <f t="shared" si="11"/>
        <v>Employee_0095</v>
      </c>
      <c r="V96" t="str">
        <f t="shared" si="12"/>
        <v>Male</v>
      </c>
      <c r="W96" t="str">
        <f t="shared" si="13"/>
        <v>It</v>
      </c>
      <c r="X96" t="str">
        <f t="shared" si="14"/>
        <v>Mumbai</v>
      </c>
      <c r="Y96" t="str">
        <f t="shared" si="15"/>
        <v>Valid</v>
      </c>
      <c r="Z96" t="str">
        <f t="shared" si="16"/>
        <v>Valid</v>
      </c>
      <c r="AA96" t="str">
        <f t="shared" si="17"/>
        <v>Valid</v>
      </c>
      <c r="AB96" s="9" t="str">
        <f t="shared" si="18"/>
        <v>Valid</v>
      </c>
      <c r="AC96" s="9" t="str">
        <f t="shared" si="19"/>
        <v>Valid</v>
      </c>
      <c r="AD96" s="9" t="str">
        <f>IF(AND(Y96="Valid",Z96="Valid",AA96="Valid",AB96="Valid",COUNTIF($A$2:A96,A96)=1),"Include","Exclude")</f>
        <v>Include</v>
      </c>
    </row>
    <row r="97" spans="1:30" x14ac:dyDescent="0.35">
      <c r="A97" t="s">
        <v>238</v>
      </c>
      <c r="B97" t="s">
        <v>239</v>
      </c>
      <c r="C97" t="s">
        <v>21</v>
      </c>
      <c r="D97">
        <v>46</v>
      </c>
      <c r="E97" t="s">
        <v>22</v>
      </c>
      <c r="F97" t="s">
        <v>33</v>
      </c>
      <c r="G97" t="s">
        <v>24</v>
      </c>
      <c r="H97" t="s">
        <v>49</v>
      </c>
      <c r="I97">
        <v>19</v>
      </c>
      <c r="J97">
        <v>66962</v>
      </c>
      <c r="K97" t="s">
        <v>45</v>
      </c>
      <c r="L97">
        <v>5</v>
      </c>
      <c r="M97">
        <v>27</v>
      </c>
      <c r="N97">
        <v>3</v>
      </c>
      <c r="O97" t="s">
        <v>27</v>
      </c>
      <c r="P97" t="s">
        <v>28</v>
      </c>
      <c r="Q97">
        <v>1</v>
      </c>
      <c r="R97" t="s">
        <v>27</v>
      </c>
      <c r="S97" t="s">
        <v>27</v>
      </c>
      <c r="T97" t="b">
        <f t="shared" si="10"/>
        <v>0</v>
      </c>
      <c r="U97" t="str">
        <f t="shared" si="11"/>
        <v>Employee_0096</v>
      </c>
      <c r="V97" t="str">
        <f t="shared" si="12"/>
        <v>Female</v>
      </c>
      <c r="W97" t="str">
        <f t="shared" si="13"/>
        <v>Sales</v>
      </c>
      <c r="X97" t="str">
        <f t="shared" si="14"/>
        <v>Delhi</v>
      </c>
      <c r="Y97" t="str">
        <f t="shared" si="15"/>
        <v>Valid</v>
      </c>
      <c r="Z97" t="str">
        <f t="shared" si="16"/>
        <v>Valid</v>
      </c>
      <c r="AA97" t="str">
        <f t="shared" si="17"/>
        <v>Valid</v>
      </c>
      <c r="AB97" s="9" t="str">
        <f t="shared" si="18"/>
        <v>Valid</v>
      </c>
      <c r="AC97" s="9" t="str">
        <f t="shared" si="19"/>
        <v>Valid</v>
      </c>
      <c r="AD97" s="9" t="str">
        <f>IF(AND(Y97="Valid",Z97="Valid",AA97="Valid",AB97="Valid",COUNTIF($A$2:A97,A97)=1),"Include","Exclude")</f>
        <v>Include</v>
      </c>
    </row>
    <row r="98" spans="1:30" x14ac:dyDescent="0.35">
      <c r="A98" t="s">
        <v>240</v>
      </c>
      <c r="B98" t="s">
        <v>241</v>
      </c>
      <c r="C98" t="s">
        <v>21</v>
      </c>
      <c r="D98">
        <v>52</v>
      </c>
      <c r="E98" t="s">
        <v>55</v>
      </c>
      <c r="F98" t="s">
        <v>64</v>
      </c>
      <c r="G98" t="s">
        <v>24</v>
      </c>
      <c r="H98" t="s">
        <v>25</v>
      </c>
      <c r="I98">
        <v>24</v>
      </c>
      <c r="J98">
        <v>82000</v>
      </c>
      <c r="K98" t="s">
        <v>26</v>
      </c>
      <c r="L98">
        <v>1</v>
      </c>
      <c r="M98">
        <v>24</v>
      </c>
      <c r="N98">
        <v>1</v>
      </c>
      <c r="O98" t="s">
        <v>27</v>
      </c>
      <c r="P98" t="s">
        <v>28</v>
      </c>
      <c r="Q98">
        <v>4</v>
      </c>
      <c r="R98" t="s">
        <v>27</v>
      </c>
      <c r="S98" t="s">
        <v>27</v>
      </c>
      <c r="T98" t="b">
        <f t="shared" si="10"/>
        <v>0</v>
      </c>
      <c r="U98" t="str">
        <f t="shared" si="11"/>
        <v>Employee_0097</v>
      </c>
      <c r="V98" t="str">
        <f t="shared" si="12"/>
        <v>Female</v>
      </c>
      <c r="W98" t="str">
        <f t="shared" si="13"/>
        <v>Marketing</v>
      </c>
      <c r="X98" t="str">
        <f t="shared" si="14"/>
        <v>Hyderabad</v>
      </c>
      <c r="Y98" t="str">
        <f t="shared" si="15"/>
        <v>Valid</v>
      </c>
      <c r="Z98" t="str">
        <f t="shared" si="16"/>
        <v>Valid</v>
      </c>
      <c r="AA98" t="str">
        <f t="shared" si="17"/>
        <v>Valid</v>
      </c>
      <c r="AB98" s="9" t="str">
        <f t="shared" si="18"/>
        <v>Valid</v>
      </c>
      <c r="AC98" s="9" t="str">
        <f t="shared" si="19"/>
        <v>Valid</v>
      </c>
      <c r="AD98" s="9" t="str">
        <f>IF(AND(Y98="Valid",Z98="Valid",AA98="Valid",AB98="Valid",COUNTIF($A$2:A98,A98)=1),"Include","Exclude")</f>
        <v>Include</v>
      </c>
    </row>
    <row r="99" spans="1:30" x14ac:dyDescent="0.35">
      <c r="A99" t="s">
        <v>242</v>
      </c>
      <c r="B99" t="s">
        <v>243</v>
      </c>
      <c r="C99" t="s">
        <v>21</v>
      </c>
      <c r="D99">
        <v>46</v>
      </c>
      <c r="E99" t="s">
        <v>38</v>
      </c>
      <c r="F99" t="s">
        <v>64</v>
      </c>
      <c r="G99" t="s">
        <v>24</v>
      </c>
      <c r="H99" t="s">
        <v>49</v>
      </c>
      <c r="I99">
        <v>20</v>
      </c>
      <c r="J99">
        <v>73894</v>
      </c>
      <c r="K99" t="s">
        <v>26</v>
      </c>
      <c r="L99">
        <v>7</v>
      </c>
      <c r="M99">
        <v>40</v>
      </c>
      <c r="N99">
        <v>6</v>
      </c>
      <c r="O99" t="s">
        <v>27</v>
      </c>
      <c r="P99" t="s">
        <v>28</v>
      </c>
      <c r="Q99">
        <v>4</v>
      </c>
      <c r="R99" t="s">
        <v>27</v>
      </c>
      <c r="S99" t="s">
        <v>27</v>
      </c>
      <c r="T99" t="b">
        <f t="shared" si="10"/>
        <v>0</v>
      </c>
      <c r="U99" t="str">
        <f t="shared" si="11"/>
        <v>Employee_0098</v>
      </c>
      <c r="V99" t="str">
        <f t="shared" si="12"/>
        <v>Female</v>
      </c>
      <c r="W99" t="str">
        <f t="shared" si="13"/>
        <v>Marketing</v>
      </c>
      <c r="X99" t="str">
        <f t="shared" si="14"/>
        <v>Delhi</v>
      </c>
      <c r="Y99" t="str">
        <f t="shared" si="15"/>
        <v>Valid</v>
      </c>
      <c r="Z99" t="str">
        <f t="shared" si="16"/>
        <v>Valid</v>
      </c>
      <c r="AA99" t="str">
        <f t="shared" si="17"/>
        <v>Valid</v>
      </c>
      <c r="AB99" s="9" t="str">
        <f t="shared" si="18"/>
        <v>Valid</v>
      </c>
      <c r="AC99" s="9" t="str">
        <f t="shared" si="19"/>
        <v>Valid</v>
      </c>
      <c r="AD99" s="9" t="str">
        <f>IF(AND(Y99="Valid",Z99="Valid",AA99="Valid",AB99="Valid",COUNTIF($A$2:A99,A99)=1),"Include","Exclude")</f>
        <v>Include</v>
      </c>
    </row>
    <row r="100" spans="1:30" x14ac:dyDescent="0.35">
      <c r="A100" t="s">
        <v>244</v>
      </c>
      <c r="B100" t="s">
        <v>245</v>
      </c>
      <c r="C100" t="s">
        <v>31</v>
      </c>
      <c r="D100">
        <v>26</v>
      </c>
      <c r="E100" t="s">
        <v>55</v>
      </c>
      <c r="F100" t="s">
        <v>64</v>
      </c>
      <c r="G100" t="s">
        <v>69</v>
      </c>
      <c r="H100" t="s">
        <v>34</v>
      </c>
      <c r="I100">
        <v>3</v>
      </c>
      <c r="J100">
        <v>58670</v>
      </c>
      <c r="K100" t="s">
        <v>45</v>
      </c>
      <c r="L100">
        <v>2</v>
      </c>
      <c r="M100">
        <v>37</v>
      </c>
      <c r="N100">
        <v>5</v>
      </c>
      <c r="O100" t="s">
        <v>28</v>
      </c>
      <c r="P100" t="s">
        <v>28</v>
      </c>
      <c r="Q100">
        <v>4</v>
      </c>
      <c r="R100" t="s">
        <v>28</v>
      </c>
      <c r="S100" t="s">
        <v>27</v>
      </c>
      <c r="T100" t="b">
        <f t="shared" si="10"/>
        <v>0</v>
      </c>
      <c r="U100" t="str">
        <f t="shared" si="11"/>
        <v>Employee_0099</v>
      </c>
      <c r="V100" t="str">
        <f t="shared" si="12"/>
        <v>Male</v>
      </c>
      <c r="W100" t="str">
        <f t="shared" si="13"/>
        <v>Marketing</v>
      </c>
      <c r="X100" t="str">
        <f t="shared" si="14"/>
        <v>Gurgaon</v>
      </c>
      <c r="Y100" t="str">
        <f t="shared" si="15"/>
        <v>Valid</v>
      </c>
      <c r="Z100" t="str">
        <f t="shared" si="16"/>
        <v>Valid</v>
      </c>
      <c r="AA100" t="str">
        <f t="shared" si="17"/>
        <v>Valid</v>
      </c>
      <c r="AB100" s="9" t="str">
        <f t="shared" si="18"/>
        <v>Valid</v>
      </c>
      <c r="AC100" s="9" t="str">
        <f t="shared" si="19"/>
        <v>Valid</v>
      </c>
      <c r="AD100" s="9" t="str">
        <f>IF(AND(Y100="Valid",Z100="Valid",AA100="Valid",AB100="Valid",COUNTIF($A$2:A100,A100)=1),"Include","Exclude")</f>
        <v>Include</v>
      </c>
    </row>
    <row r="101" spans="1:30" x14ac:dyDescent="0.35">
      <c r="A101" t="s">
        <v>246</v>
      </c>
      <c r="B101" t="s">
        <v>247</v>
      </c>
      <c r="C101" t="s">
        <v>21</v>
      </c>
      <c r="D101">
        <v>51</v>
      </c>
      <c r="E101" t="s">
        <v>32</v>
      </c>
      <c r="F101" t="s">
        <v>48</v>
      </c>
      <c r="G101" t="s">
        <v>24</v>
      </c>
      <c r="H101" t="s">
        <v>52</v>
      </c>
      <c r="I101">
        <v>23</v>
      </c>
      <c r="J101">
        <v>49539</v>
      </c>
      <c r="K101" t="s">
        <v>45</v>
      </c>
      <c r="L101">
        <v>10</v>
      </c>
      <c r="M101">
        <v>54</v>
      </c>
      <c r="N101">
        <v>4</v>
      </c>
      <c r="O101" t="s">
        <v>27</v>
      </c>
      <c r="P101" t="s">
        <v>27</v>
      </c>
      <c r="Q101">
        <v>4</v>
      </c>
      <c r="R101" t="s">
        <v>28</v>
      </c>
      <c r="S101" t="s">
        <v>27</v>
      </c>
      <c r="T101" t="b">
        <f t="shared" si="10"/>
        <v>0</v>
      </c>
      <c r="U101" t="str">
        <f t="shared" si="11"/>
        <v>Employee_0100</v>
      </c>
      <c r="V101" t="str">
        <f t="shared" si="12"/>
        <v>Female</v>
      </c>
      <c r="W101" t="str">
        <f t="shared" si="13"/>
        <v>Customer Support</v>
      </c>
      <c r="X101" t="str">
        <f t="shared" si="14"/>
        <v>Mumbai</v>
      </c>
      <c r="Y101" t="str">
        <f t="shared" si="15"/>
        <v>Valid</v>
      </c>
      <c r="Z101" t="str">
        <f t="shared" si="16"/>
        <v>Valid</v>
      </c>
      <c r="AA101" t="str">
        <f t="shared" si="17"/>
        <v>Valid</v>
      </c>
      <c r="AB101" s="9" t="str">
        <f t="shared" si="18"/>
        <v>Valid</v>
      </c>
      <c r="AC101" s="9" t="str">
        <f t="shared" si="19"/>
        <v>Valid</v>
      </c>
      <c r="AD101" s="9" t="str">
        <f>IF(AND(Y101="Valid",Z101="Valid",AA101="Valid",AB101="Valid",COUNTIF($A$2:A101,A101)=1),"Include","Exclude")</f>
        <v>Include</v>
      </c>
    </row>
    <row r="102" spans="1:30" x14ac:dyDescent="0.35">
      <c r="A102" t="s">
        <v>248</v>
      </c>
      <c r="B102" t="s">
        <v>249</v>
      </c>
      <c r="C102" t="s">
        <v>250</v>
      </c>
      <c r="D102">
        <v>26</v>
      </c>
      <c r="E102" t="s">
        <v>22</v>
      </c>
      <c r="F102" t="s">
        <v>33</v>
      </c>
      <c r="G102" t="s">
        <v>24</v>
      </c>
      <c r="H102" t="s">
        <v>70</v>
      </c>
      <c r="I102">
        <v>2</v>
      </c>
      <c r="J102">
        <v>41357</v>
      </c>
      <c r="K102" t="s">
        <v>26</v>
      </c>
      <c r="L102">
        <v>6</v>
      </c>
      <c r="M102">
        <v>22</v>
      </c>
      <c r="N102">
        <v>5</v>
      </c>
      <c r="O102" t="s">
        <v>28</v>
      </c>
      <c r="P102" t="s">
        <v>27</v>
      </c>
      <c r="Q102">
        <v>5</v>
      </c>
      <c r="R102" t="s">
        <v>27</v>
      </c>
      <c r="S102" t="s">
        <v>27</v>
      </c>
      <c r="T102" t="b">
        <f t="shared" si="10"/>
        <v>0</v>
      </c>
      <c r="U102" t="str">
        <f t="shared" si="11"/>
        <v>Employee_0101</v>
      </c>
      <c r="V102" t="str">
        <f t="shared" si="12"/>
        <v>Male</v>
      </c>
      <c r="W102" t="str">
        <f t="shared" si="13"/>
        <v>Sales</v>
      </c>
      <c r="X102" t="str">
        <f t="shared" si="14"/>
        <v>Bangalore</v>
      </c>
      <c r="Y102" t="str">
        <f t="shared" si="15"/>
        <v>Valid</v>
      </c>
      <c r="Z102" t="str">
        <f t="shared" si="16"/>
        <v>Valid</v>
      </c>
      <c r="AA102" t="str">
        <f t="shared" si="17"/>
        <v>Valid</v>
      </c>
      <c r="AB102" s="9" t="str">
        <f t="shared" si="18"/>
        <v>Valid</v>
      </c>
      <c r="AC102" s="9" t="str">
        <f t="shared" si="19"/>
        <v>Valid</v>
      </c>
      <c r="AD102" s="9" t="str">
        <f>IF(AND(Y102="Valid",Z102="Valid",AA102="Valid",AB102="Valid",COUNTIF($A$2:A102,A102)=1),"Include","Exclude")</f>
        <v>Include</v>
      </c>
    </row>
    <row r="103" spans="1:30" x14ac:dyDescent="0.35">
      <c r="A103" t="s">
        <v>251</v>
      </c>
      <c r="B103" t="s">
        <v>252</v>
      </c>
      <c r="C103" t="s">
        <v>21</v>
      </c>
      <c r="D103">
        <v>30</v>
      </c>
      <c r="E103" t="s">
        <v>55</v>
      </c>
      <c r="F103" t="s">
        <v>39</v>
      </c>
      <c r="G103" t="s">
        <v>24</v>
      </c>
      <c r="H103" t="s">
        <v>70</v>
      </c>
      <c r="I103">
        <v>4</v>
      </c>
      <c r="J103">
        <v>63684</v>
      </c>
      <c r="K103" t="s">
        <v>45</v>
      </c>
      <c r="L103">
        <v>8</v>
      </c>
      <c r="M103">
        <v>35</v>
      </c>
      <c r="N103">
        <v>4</v>
      </c>
      <c r="O103" t="s">
        <v>28</v>
      </c>
      <c r="P103" t="s">
        <v>28</v>
      </c>
      <c r="Q103">
        <v>2</v>
      </c>
      <c r="R103" t="s">
        <v>27</v>
      </c>
      <c r="S103" t="s">
        <v>27</v>
      </c>
      <c r="T103" t="b">
        <f t="shared" si="10"/>
        <v>0</v>
      </c>
      <c r="U103" t="str">
        <f t="shared" si="11"/>
        <v>Employee_0102</v>
      </c>
      <c r="V103" t="str">
        <f t="shared" si="12"/>
        <v>Female</v>
      </c>
      <c r="W103" t="str">
        <f t="shared" si="13"/>
        <v>Operations</v>
      </c>
      <c r="X103" t="str">
        <f t="shared" si="14"/>
        <v>Bangalore</v>
      </c>
      <c r="Y103" t="str">
        <f t="shared" si="15"/>
        <v>Valid</v>
      </c>
      <c r="Z103" t="str">
        <f t="shared" si="16"/>
        <v>Valid</v>
      </c>
      <c r="AA103" t="str">
        <f t="shared" si="17"/>
        <v>Valid</v>
      </c>
      <c r="AB103" s="9" t="str">
        <f t="shared" si="18"/>
        <v>Valid</v>
      </c>
      <c r="AC103" s="9" t="str">
        <f t="shared" si="19"/>
        <v>Valid</v>
      </c>
      <c r="AD103" s="9" t="str">
        <f>IF(AND(Y103="Valid",Z103="Valid",AA103="Valid",AB103="Valid",COUNTIF($A$2:A103,A103)=1),"Include","Exclude")</f>
        <v>Include</v>
      </c>
    </row>
    <row r="104" spans="1:30" x14ac:dyDescent="0.35">
      <c r="A104" t="s">
        <v>253</v>
      </c>
      <c r="B104" t="s">
        <v>254</v>
      </c>
      <c r="C104" t="s">
        <v>31</v>
      </c>
      <c r="D104">
        <v>54</v>
      </c>
      <c r="E104" t="s">
        <v>38</v>
      </c>
      <c r="F104" t="s">
        <v>64</v>
      </c>
      <c r="G104" t="s">
        <v>24</v>
      </c>
      <c r="H104" t="s">
        <v>61</v>
      </c>
      <c r="I104">
        <v>17</v>
      </c>
      <c r="J104">
        <v>72142</v>
      </c>
      <c r="K104" t="s">
        <v>45</v>
      </c>
      <c r="L104">
        <v>5</v>
      </c>
      <c r="M104">
        <v>14</v>
      </c>
      <c r="N104">
        <v>6</v>
      </c>
      <c r="O104" t="s">
        <v>27</v>
      </c>
      <c r="P104" t="s">
        <v>28</v>
      </c>
      <c r="Q104">
        <v>1</v>
      </c>
      <c r="R104" t="s">
        <v>27</v>
      </c>
      <c r="S104" t="s">
        <v>27</v>
      </c>
      <c r="T104" t="b">
        <f t="shared" si="10"/>
        <v>0</v>
      </c>
      <c r="U104" t="str">
        <f t="shared" si="11"/>
        <v>Employee_0103</v>
      </c>
      <c r="V104" t="str">
        <f t="shared" si="12"/>
        <v>Male</v>
      </c>
      <c r="W104" t="str">
        <f t="shared" si="13"/>
        <v>Marketing</v>
      </c>
      <c r="X104" t="str">
        <f t="shared" si="14"/>
        <v>Noida</v>
      </c>
      <c r="Y104" t="str">
        <f t="shared" si="15"/>
        <v>Valid</v>
      </c>
      <c r="Z104" t="str">
        <f t="shared" si="16"/>
        <v>Valid</v>
      </c>
      <c r="AA104" t="str">
        <f t="shared" si="17"/>
        <v>Valid</v>
      </c>
      <c r="AB104" s="9" t="str">
        <f t="shared" si="18"/>
        <v>Valid</v>
      </c>
      <c r="AC104" s="9" t="str">
        <f t="shared" si="19"/>
        <v>Valid</v>
      </c>
      <c r="AD104" s="9" t="str">
        <f>IF(AND(Y104="Valid",Z104="Valid",AA104="Valid",AB104="Valid",COUNTIF($A$2:A104,A104)=1),"Include","Exclude")</f>
        <v>Include</v>
      </c>
    </row>
    <row r="105" spans="1:30" x14ac:dyDescent="0.35">
      <c r="A105" t="s">
        <v>255</v>
      </c>
      <c r="B105" t="s">
        <v>256</v>
      </c>
      <c r="C105" t="s">
        <v>21</v>
      </c>
      <c r="D105">
        <v>48</v>
      </c>
      <c r="E105" t="s">
        <v>38</v>
      </c>
      <c r="F105" t="s">
        <v>48</v>
      </c>
      <c r="G105" t="s">
        <v>24</v>
      </c>
      <c r="H105" t="s">
        <v>52</v>
      </c>
      <c r="I105">
        <v>10</v>
      </c>
      <c r="J105">
        <v>60209</v>
      </c>
      <c r="K105" t="s">
        <v>26</v>
      </c>
      <c r="L105">
        <v>9</v>
      </c>
      <c r="M105">
        <v>33</v>
      </c>
      <c r="N105">
        <v>1</v>
      </c>
      <c r="O105" t="s">
        <v>28</v>
      </c>
      <c r="P105" t="s">
        <v>28</v>
      </c>
      <c r="Q105">
        <v>1</v>
      </c>
      <c r="R105" t="s">
        <v>27</v>
      </c>
      <c r="S105" t="s">
        <v>27</v>
      </c>
      <c r="T105" t="b">
        <f t="shared" si="10"/>
        <v>0</v>
      </c>
      <c r="U105" t="str">
        <f t="shared" si="11"/>
        <v>Employee_0104</v>
      </c>
      <c r="V105" t="str">
        <f t="shared" si="12"/>
        <v>Female</v>
      </c>
      <c r="W105" t="str">
        <f t="shared" si="13"/>
        <v>Customer Support</v>
      </c>
      <c r="X105" t="str">
        <f t="shared" si="14"/>
        <v>Mumbai</v>
      </c>
      <c r="Y105" t="str">
        <f t="shared" si="15"/>
        <v>Valid</v>
      </c>
      <c r="Z105" t="str">
        <f t="shared" si="16"/>
        <v>Valid</v>
      </c>
      <c r="AA105" t="str">
        <f t="shared" si="17"/>
        <v>Valid</v>
      </c>
      <c r="AB105" s="9" t="str">
        <f t="shared" si="18"/>
        <v>Valid</v>
      </c>
      <c r="AC105" s="9" t="str">
        <f t="shared" si="19"/>
        <v>Valid</v>
      </c>
      <c r="AD105" s="9" t="str">
        <f>IF(AND(Y105="Valid",Z105="Valid",AA105="Valid",AB105="Valid",COUNTIF($A$2:A105,A105)=1),"Include","Exclude")</f>
        <v>Include</v>
      </c>
    </row>
    <row r="106" spans="1:30" x14ac:dyDescent="0.35">
      <c r="A106" t="s">
        <v>257</v>
      </c>
      <c r="B106" t="s">
        <v>258</v>
      </c>
      <c r="C106" t="s">
        <v>21</v>
      </c>
      <c r="D106">
        <v>44</v>
      </c>
      <c r="E106" t="s">
        <v>22</v>
      </c>
      <c r="F106" t="s">
        <v>39</v>
      </c>
      <c r="G106" t="s">
        <v>24</v>
      </c>
      <c r="H106" t="s">
        <v>34</v>
      </c>
      <c r="I106">
        <v>13</v>
      </c>
      <c r="J106">
        <v>57689</v>
      </c>
      <c r="K106" t="s">
        <v>35</v>
      </c>
      <c r="L106">
        <v>10</v>
      </c>
      <c r="M106">
        <v>51</v>
      </c>
      <c r="N106">
        <v>5</v>
      </c>
      <c r="O106" t="s">
        <v>28</v>
      </c>
      <c r="P106" t="s">
        <v>27</v>
      </c>
      <c r="Q106">
        <v>2</v>
      </c>
      <c r="R106" t="s">
        <v>28</v>
      </c>
      <c r="S106" t="s">
        <v>27</v>
      </c>
      <c r="T106" t="b">
        <f t="shared" si="10"/>
        <v>0</v>
      </c>
      <c r="U106" t="str">
        <f t="shared" si="11"/>
        <v>Employee_0105</v>
      </c>
      <c r="V106" t="str">
        <f t="shared" si="12"/>
        <v>Female</v>
      </c>
      <c r="W106" t="str">
        <f t="shared" si="13"/>
        <v>Operations</v>
      </c>
      <c r="X106" t="str">
        <f t="shared" si="14"/>
        <v>Gurgaon</v>
      </c>
      <c r="Y106" t="str">
        <f t="shared" si="15"/>
        <v>Valid</v>
      </c>
      <c r="Z106" t="str">
        <f t="shared" si="16"/>
        <v>Valid</v>
      </c>
      <c r="AA106" t="str">
        <f t="shared" si="17"/>
        <v>Valid</v>
      </c>
      <c r="AB106" s="9" t="str">
        <f t="shared" si="18"/>
        <v>Valid</v>
      </c>
      <c r="AC106" s="9" t="str">
        <f t="shared" si="19"/>
        <v>Valid</v>
      </c>
      <c r="AD106" s="9" t="str">
        <f>IF(AND(Y106="Valid",Z106="Valid",AA106="Valid",AB106="Valid",COUNTIF($A$2:A106,A106)=1),"Include","Exclude")</f>
        <v>Include</v>
      </c>
    </row>
    <row r="107" spans="1:30" x14ac:dyDescent="0.35">
      <c r="A107" t="s">
        <v>259</v>
      </c>
      <c r="B107" t="s">
        <v>260</v>
      </c>
      <c r="C107" t="s">
        <v>31</v>
      </c>
      <c r="D107">
        <v>29</v>
      </c>
      <c r="E107" t="s">
        <v>38</v>
      </c>
      <c r="F107" t="s">
        <v>33</v>
      </c>
      <c r="G107" t="s">
        <v>44</v>
      </c>
      <c r="H107" t="s">
        <v>34</v>
      </c>
      <c r="I107">
        <v>5</v>
      </c>
      <c r="J107">
        <v>64326</v>
      </c>
      <c r="K107" t="s">
        <v>26</v>
      </c>
      <c r="L107">
        <v>8</v>
      </c>
      <c r="M107">
        <v>45</v>
      </c>
      <c r="N107">
        <v>3</v>
      </c>
      <c r="O107" t="s">
        <v>28</v>
      </c>
      <c r="P107" t="s">
        <v>28</v>
      </c>
      <c r="Q107">
        <v>4</v>
      </c>
      <c r="R107" t="s">
        <v>27</v>
      </c>
      <c r="S107" t="s">
        <v>27</v>
      </c>
      <c r="T107" t="b">
        <f t="shared" si="10"/>
        <v>0</v>
      </c>
      <c r="U107" t="str">
        <f t="shared" si="11"/>
        <v>Employee_0106</v>
      </c>
      <c r="V107" t="str">
        <f t="shared" si="12"/>
        <v>Male</v>
      </c>
      <c r="W107" t="str">
        <f t="shared" si="13"/>
        <v>Sales</v>
      </c>
      <c r="X107" t="str">
        <f t="shared" si="14"/>
        <v>Gurgaon</v>
      </c>
      <c r="Y107" t="str">
        <f t="shared" si="15"/>
        <v>Valid</v>
      </c>
      <c r="Z107" t="str">
        <f t="shared" si="16"/>
        <v>Valid</v>
      </c>
      <c r="AA107" t="str">
        <f t="shared" si="17"/>
        <v>Valid</v>
      </c>
      <c r="AB107" s="9" t="str">
        <f t="shared" si="18"/>
        <v>Valid</v>
      </c>
      <c r="AC107" s="9" t="str">
        <f t="shared" si="19"/>
        <v>Valid</v>
      </c>
      <c r="AD107" s="9" t="str">
        <f>IF(AND(Y107="Valid",Z107="Valid",AA107="Valid",AB107="Valid",COUNTIF($A$2:A107,A107)=1),"Include","Exclude")</f>
        <v>Include</v>
      </c>
    </row>
    <row r="108" spans="1:30" x14ac:dyDescent="0.35">
      <c r="A108" t="s">
        <v>261</v>
      </c>
      <c r="B108" t="s">
        <v>262</v>
      </c>
      <c r="C108" t="s">
        <v>21</v>
      </c>
      <c r="D108">
        <v>29</v>
      </c>
      <c r="E108" t="s">
        <v>55</v>
      </c>
      <c r="F108" t="s">
        <v>23</v>
      </c>
      <c r="G108" t="s">
        <v>24</v>
      </c>
      <c r="H108" t="s">
        <v>34</v>
      </c>
      <c r="I108">
        <v>6</v>
      </c>
      <c r="J108">
        <v>72840</v>
      </c>
      <c r="K108" t="s">
        <v>26</v>
      </c>
      <c r="L108">
        <v>9</v>
      </c>
      <c r="M108">
        <v>37</v>
      </c>
      <c r="N108">
        <v>4</v>
      </c>
      <c r="O108" t="s">
        <v>27</v>
      </c>
      <c r="P108" t="s">
        <v>28</v>
      </c>
      <c r="Q108">
        <v>1</v>
      </c>
      <c r="R108" t="s">
        <v>28</v>
      </c>
      <c r="S108" t="s">
        <v>27</v>
      </c>
      <c r="T108" t="b">
        <f t="shared" si="10"/>
        <v>0</v>
      </c>
      <c r="U108" t="str">
        <f t="shared" si="11"/>
        <v>Employee_0107</v>
      </c>
      <c r="V108" t="str">
        <f t="shared" si="12"/>
        <v>Female</v>
      </c>
      <c r="W108" t="str">
        <f t="shared" si="13"/>
        <v>Finance</v>
      </c>
      <c r="X108" t="str">
        <f t="shared" si="14"/>
        <v>Gurgaon</v>
      </c>
      <c r="Y108" t="str">
        <f t="shared" si="15"/>
        <v>Valid</v>
      </c>
      <c r="Z108" t="str">
        <f t="shared" si="16"/>
        <v>Valid</v>
      </c>
      <c r="AA108" t="str">
        <f t="shared" si="17"/>
        <v>Valid</v>
      </c>
      <c r="AB108" s="9" t="str">
        <f t="shared" si="18"/>
        <v>Valid</v>
      </c>
      <c r="AC108" s="9" t="str">
        <f t="shared" si="19"/>
        <v>Valid</v>
      </c>
      <c r="AD108" s="9" t="str">
        <f>IF(AND(Y108="Valid",Z108="Valid",AA108="Valid",AB108="Valid",COUNTIF($A$2:A108,A108)=1),"Include","Exclude")</f>
        <v>Include</v>
      </c>
    </row>
    <row r="109" spans="1:30" x14ac:dyDescent="0.35">
      <c r="A109" t="s">
        <v>263</v>
      </c>
      <c r="B109" t="s">
        <v>264</v>
      </c>
      <c r="C109" t="s">
        <v>21</v>
      </c>
      <c r="D109">
        <v>52</v>
      </c>
      <c r="E109" t="s">
        <v>55</v>
      </c>
      <c r="F109" t="s">
        <v>64</v>
      </c>
      <c r="G109" t="s">
        <v>24</v>
      </c>
      <c r="H109" t="s">
        <v>52</v>
      </c>
      <c r="I109">
        <v>11</v>
      </c>
      <c r="J109">
        <v>48405</v>
      </c>
      <c r="K109" t="s">
        <v>45</v>
      </c>
      <c r="L109">
        <v>5</v>
      </c>
      <c r="M109">
        <v>13</v>
      </c>
      <c r="N109">
        <v>3</v>
      </c>
      <c r="O109" t="s">
        <v>27</v>
      </c>
      <c r="P109" t="s">
        <v>28</v>
      </c>
      <c r="Q109">
        <v>4</v>
      </c>
      <c r="R109" t="s">
        <v>27</v>
      </c>
      <c r="S109" t="s">
        <v>27</v>
      </c>
      <c r="T109" t="b">
        <f t="shared" si="10"/>
        <v>0</v>
      </c>
      <c r="U109" t="str">
        <f t="shared" si="11"/>
        <v>Employee_0108</v>
      </c>
      <c r="V109" t="str">
        <f t="shared" si="12"/>
        <v>Female</v>
      </c>
      <c r="W109" t="str">
        <f t="shared" si="13"/>
        <v>Marketing</v>
      </c>
      <c r="X109" t="str">
        <f t="shared" si="14"/>
        <v>Mumbai</v>
      </c>
      <c r="Y109" t="str">
        <f t="shared" si="15"/>
        <v>Valid</v>
      </c>
      <c r="Z109" t="str">
        <f t="shared" si="16"/>
        <v>Valid</v>
      </c>
      <c r="AA109" t="str">
        <f t="shared" si="17"/>
        <v>Valid</v>
      </c>
      <c r="AB109" s="9" t="str">
        <f t="shared" si="18"/>
        <v>Valid</v>
      </c>
      <c r="AC109" s="9" t="str">
        <f t="shared" si="19"/>
        <v>Valid</v>
      </c>
      <c r="AD109" s="9" t="str">
        <f>IF(AND(Y109="Valid",Z109="Valid",AA109="Valid",AB109="Valid",COUNTIF($A$2:A109,A109)=1),"Include","Exclude")</f>
        <v>Include</v>
      </c>
    </row>
    <row r="110" spans="1:30" x14ac:dyDescent="0.35">
      <c r="A110" t="s">
        <v>265</v>
      </c>
      <c r="B110" t="s">
        <v>266</v>
      </c>
      <c r="C110" t="s">
        <v>21</v>
      </c>
      <c r="D110">
        <v>25</v>
      </c>
      <c r="E110" t="s">
        <v>55</v>
      </c>
      <c r="F110" t="s">
        <v>48</v>
      </c>
      <c r="G110" t="s">
        <v>24</v>
      </c>
      <c r="H110" t="s">
        <v>61</v>
      </c>
      <c r="I110">
        <v>3</v>
      </c>
      <c r="J110">
        <v>41708</v>
      </c>
      <c r="K110" t="s">
        <v>45</v>
      </c>
      <c r="L110">
        <v>2</v>
      </c>
      <c r="M110">
        <v>35</v>
      </c>
      <c r="N110">
        <v>4</v>
      </c>
      <c r="O110" t="s">
        <v>27</v>
      </c>
      <c r="P110" t="s">
        <v>28</v>
      </c>
      <c r="Q110">
        <v>2</v>
      </c>
      <c r="R110" t="s">
        <v>27</v>
      </c>
      <c r="S110" t="s">
        <v>27</v>
      </c>
      <c r="T110" t="b">
        <f t="shared" si="10"/>
        <v>0</v>
      </c>
      <c r="U110" t="str">
        <f t="shared" si="11"/>
        <v>Employee_0109</v>
      </c>
      <c r="V110" t="str">
        <f t="shared" si="12"/>
        <v>Female</v>
      </c>
      <c r="W110" t="str">
        <f t="shared" si="13"/>
        <v>Customer Support</v>
      </c>
      <c r="X110" t="str">
        <f t="shared" si="14"/>
        <v>Noida</v>
      </c>
      <c r="Y110" t="str">
        <f t="shared" si="15"/>
        <v>Valid</v>
      </c>
      <c r="Z110" t="str">
        <f t="shared" si="16"/>
        <v>Valid</v>
      </c>
      <c r="AA110" t="str">
        <f t="shared" si="17"/>
        <v>Valid</v>
      </c>
      <c r="AB110" s="9" t="str">
        <f t="shared" si="18"/>
        <v>Valid</v>
      </c>
      <c r="AC110" s="9" t="str">
        <f t="shared" si="19"/>
        <v>Valid</v>
      </c>
      <c r="AD110" s="9" t="str">
        <f>IF(AND(Y110="Valid",Z110="Valid",AA110="Valid",AB110="Valid",COUNTIF($A$2:A110,A110)=1),"Include","Exclude")</f>
        <v>Include</v>
      </c>
    </row>
    <row r="111" spans="1:30" x14ac:dyDescent="0.35">
      <c r="A111" t="s">
        <v>267</v>
      </c>
      <c r="B111" t="s">
        <v>268</v>
      </c>
      <c r="C111" t="s">
        <v>31</v>
      </c>
      <c r="D111">
        <v>29</v>
      </c>
      <c r="E111" t="s">
        <v>38</v>
      </c>
      <c r="F111" t="s">
        <v>48</v>
      </c>
      <c r="G111" t="s">
        <v>69</v>
      </c>
      <c r="H111" t="s">
        <v>61</v>
      </c>
      <c r="I111">
        <v>6</v>
      </c>
      <c r="J111">
        <v>45755</v>
      </c>
      <c r="K111" t="s">
        <v>26</v>
      </c>
      <c r="L111">
        <v>1</v>
      </c>
      <c r="M111">
        <v>28</v>
      </c>
      <c r="N111">
        <v>2</v>
      </c>
      <c r="O111" t="s">
        <v>28</v>
      </c>
      <c r="P111" t="s">
        <v>28</v>
      </c>
      <c r="Q111">
        <v>2</v>
      </c>
      <c r="R111" t="s">
        <v>27</v>
      </c>
      <c r="S111" t="s">
        <v>27</v>
      </c>
      <c r="T111" t="b">
        <f t="shared" si="10"/>
        <v>0</v>
      </c>
      <c r="U111" t="str">
        <f t="shared" si="11"/>
        <v>Employee_0110</v>
      </c>
      <c r="V111" t="str">
        <f t="shared" si="12"/>
        <v>Male</v>
      </c>
      <c r="W111" t="str">
        <f t="shared" si="13"/>
        <v>Customer Support</v>
      </c>
      <c r="X111" t="str">
        <f t="shared" si="14"/>
        <v>Noida</v>
      </c>
      <c r="Y111" t="str">
        <f t="shared" si="15"/>
        <v>Valid</v>
      </c>
      <c r="Z111" t="str">
        <f t="shared" si="16"/>
        <v>Valid</v>
      </c>
      <c r="AA111" t="str">
        <f t="shared" si="17"/>
        <v>Valid</v>
      </c>
      <c r="AB111" s="9" t="str">
        <f t="shared" si="18"/>
        <v>Valid</v>
      </c>
      <c r="AC111" s="9" t="str">
        <f t="shared" si="19"/>
        <v>Valid</v>
      </c>
      <c r="AD111" s="9" t="str">
        <f>IF(AND(Y111="Valid",Z111="Valid",AA111="Valid",AB111="Valid",COUNTIF($A$2:A111,A111)=1),"Include","Exclude")</f>
        <v>Include</v>
      </c>
    </row>
    <row r="112" spans="1:30" x14ac:dyDescent="0.35">
      <c r="A112" t="s">
        <v>269</v>
      </c>
      <c r="B112" t="s">
        <v>270</v>
      </c>
      <c r="C112" t="s">
        <v>31</v>
      </c>
      <c r="D112">
        <v>48</v>
      </c>
      <c r="E112" t="s">
        <v>55</v>
      </c>
      <c r="F112" t="s">
        <v>39</v>
      </c>
      <c r="G112" t="s">
        <v>24</v>
      </c>
      <c r="H112" t="s">
        <v>34</v>
      </c>
      <c r="I112">
        <v>19</v>
      </c>
      <c r="J112">
        <v>56748</v>
      </c>
      <c r="K112" t="s">
        <v>35</v>
      </c>
      <c r="L112">
        <v>10</v>
      </c>
      <c r="M112">
        <v>36</v>
      </c>
      <c r="N112">
        <v>1</v>
      </c>
      <c r="O112" t="s">
        <v>28</v>
      </c>
      <c r="P112" t="s">
        <v>28</v>
      </c>
      <c r="Q112">
        <v>4</v>
      </c>
      <c r="R112" t="s">
        <v>27</v>
      </c>
      <c r="S112" t="s">
        <v>27</v>
      </c>
      <c r="T112" t="b">
        <f t="shared" si="10"/>
        <v>0</v>
      </c>
      <c r="U112" t="str">
        <f t="shared" si="11"/>
        <v>Employee_0111</v>
      </c>
      <c r="V112" t="str">
        <f t="shared" si="12"/>
        <v>Male</v>
      </c>
      <c r="W112" t="str">
        <f t="shared" si="13"/>
        <v>Operations</v>
      </c>
      <c r="X112" t="str">
        <f t="shared" si="14"/>
        <v>Gurgaon</v>
      </c>
      <c r="Y112" t="str">
        <f t="shared" si="15"/>
        <v>Valid</v>
      </c>
      <c r="Z112" t="str">
        <f t="shared" si="16"/>
        <v>Valid</v>
      </c>
      <c r="AA112" t="str">
        <f t="shared" si="17"/>
        <v>Valid</v>
      </c>
      <c r="AB112" s="9" t="str">
        <f t="shared" si="18"/>
        <v>Valid</v>
      </c>
      <c r="AC112" s="9" t="str">
        <f t="shared" si="19"/>
        <v>Valid</v>
      </c>
      <c r="AD112" s="9" t="str">
        <f>IF(AND(Y112="Valid",Z112="Valid",AA112="Valid",AB112="Valid",COUNTIF($A$2:A112,A112)=1),"Include","Exclude")</f>
        <v>Include</v>
      </c>
    </row>
    <row r="113" spans="1:30" x14ac:dyDescent="0.35">
      <c r="A113" t="s">
        <v>271</v>
      </c>
      <c r="B113" t="s">
        <v>272</v>
      </c>
      <c r="C113" t="s">
        <v>31</v>
      </c>
      <c r="D113">
        <v>47</v>
      </c>
      <c r="E113" t="s">
        <v>55</v>
      </c>
      <c r="F113" t="s">
        <v>48</v>
      </c>
      <c r="G113" t="s">
        <v>24</v>
      </c>
      <c r="H113" t="s">
        <v>52</v>
      </c>
      <c r="I113">
        <v>14</v>
      </c>
      <c r="J113">
        <v>57256</v>
      </c>
      <c r="K113" t="s">
        <v>26</v>
      </c>
      <c r="L113">
        <v>10</v>
      </c>
      <c r="M113">
        <v>39</v>
      </c>
      <c r="N113">
        <v>1</v>
      </c>
      <c r="O113" t="s">
        <v>27</v>
      </c>
      <c r="P113" t="s">
        <v>28</v>
      </c>
      <c r="Q113">
        <v>1</v>
      </c>
      <c r="R113" t="s">
        <v>27</v>
      </c>
      <c r="S113" t="s">
        <v>27</v>
      </c>
      <c r="T113" t="b">
        <f t="shared" si="10"/>
        <v>0</v>
      </c>
      <c r="U113" t="str">
        <f t="shared" si="11"/>
        <v>Employee_0112</v>
      </c>
      <c r="V113" t="str">
        <f t="shared" si="12"/>
        <v>Male</v>
      </c>
      <c r="W113" t="str">
        <f t="shared" si="13"/>
        <v>Customer Support</v>
      </c>
      <c r="X113" t="str">
        <f t="shared" si="14"/>
        <v>Mumbai</v>
      </c>
      <c r="Y113" t="str">
        <f t="shared" si="15"/>
        <v>Valid</v>
      </c>
      <c r="Z113" t="str">
        <f t="shared" si="16"/>
        <v>Valid</v>
      </c>
      <c r="AA113" t="str">
        <f t="shared" si="17"/>
        <v>Valid</v>
      </c>
      <c r="AB113" s="9" t="str">
        <f t="shared" si="18"/>
        <v>Valid</v>
      </c>
      <c r="AC113" s="9" t="str">
        <f t="shared" si="19"/>
        <v>Valid</v>
      </c>
      <c r="AD113" s="9" t="str">
        <f>IF(AND(Y113="Valid",Z113="Valid",AA113="Valid",AB113="Valid",COUNTIF($A$2:A113,A113)=1),"Include","Exclude")</f>
        <v>Include</v>
      </c>
    </row>
    <row r="114" spans="1:30" x14ac:dyDescent="0.35">
      <c r="A114" t="s">
        <v>273</v>
      </c>
      <c r="B114" t="s">
        <v>274</v>
      </c>
      <c r="C114" t="s">
        <v>21</v>
      </c>
      <c r="D114">
        <v>33</v>
      </c>
      <c r="E114" t="s">
        <v>55</v>
      </c>
      <c r="F114" t="s">
        <v>48</v>
      </c>
      <c r="G114" t="s">
        <v>24</v>
      </c>
      <c r="H114" t="s">
        <v>131</v>
      </c>
      <c r="I114">
        <v>9</v>
      </c>
      <c r="J114">
        <v>67059</v>
      </c>
      <c r="K114" t="s">
        <v>35</v>
      </c>
      <c r="L114">
        <v>2</v>
      </c>
      <c r="M114">
        <v>12</v>
      </c>
      <c r="N114">
        <v>6</v>
      </c>
      <c r="O114" t="s">
        <v>27</v>
      </c>
      <c r="P114" t="s">
        <v>28</v>
      </c>
      <c r="Q114">
        <v>3</v>
      </c>
      <c r="R114" t="s">
        <v>27</v>
      </c>
      <c r="S114" t="s">
        <v>28</v>
      </c>
      <c r="T114" t="b">
        <f t="shared" si="10"/>
        <v>0</v>
      </c>
      <c r="U114" t="str">
        <f t="shared" si="11"/>
        <v>Employee_0113</v>
      </c>
      <c r="V114" t="str">
        <f t="shared" si="12"/>
        <v>Female</v>
      </c>
      <c r="W114" t="str">
        <f t="shared" si="13"/>
        <v>Customer Support</v>
      </c>
      <c r="X114" t="str">
        <f t="shared" si="14"/>
        <v>Pune</v>
      </c>
      <c r="Y114" t="str">
        <f t="shared" si="15"/>
        <v>Valid</v>
      </c>
      <c r="Z114" t="str">
        <f t="shared" si="16"/>
        <v>Valid</v>
      </c>
      <c r="AA114" t="str">
        <f t="shared" si="17"/>
        <v>Valid</v>
      </c>
      <c r="AB114" s="9" t="str">
        <f t="shared" si="18"/>
        <v>Valid</v>
      </c>
      <c r="AC114" s="9" t="str">
        <f t="shared" si="19"/>
        <v>Valid</v>
      </c>
      <c r="AD114" s="9" t="str">
        <f>IF(AND(Y114="Valid",Z114="Valid",AA114="Valid",AB114="Valid",COUNTIF($A$2:A114,A114)=1),"Include","Exclude")</f>
        <v>Include</v>
      </c>
    </row>
    <row r="115" spans="1:30" x14ac:dyDescent="0.35">
      <c r="A115" t="s">
        <v>275</v>
      </c>
      <c r="B115" t="s">
        <v>276</v>
      </c>
      <c r="C115" t="s">
        <v>21</v>
      </c>
      <c r="D115">
        <v>29</v>
      </c>
      <c r="E115" t="s">
        <v>55</v>
      </c>
      <c r="F115" t="s">
        <v>64</v>
      </c>
      <c r="G115" t="s">
        <v>24</v>
      </c>
      <c r="H115" t="s">
        <v>131</v>
      </c>
      <c r="I115">
        <v>4</v>
      </c>
      <c r="J115">
        <v>51049</v>
      </c>
      <c r="K115" t="s">
        <v>26</v>
      </c>
      <c r="L115">
        <v>5</v>
      </c>
      <c r="M115">
        <v>19</v>
      </c>
      <c r="N115">
        <v>4</v>
      </c>
      <c r="O115" t="s">
        <v>27</v>
      </c>
      <c r="P115" t="s">
        <v>28</v>
      </c>
      <c r="Q115">
        <v>2</v>
      </c>
      <c r="R115" t="s">
        <v>27</v>
      </c>
      <c r="S115" t="s">
        <v>27</v>
      </c>
      <c r="T115" t="b">
        <f t="shared" si="10"/>
        <v>0</v>
      </c>
      <c r="U115" t="str">
        <f t="shared" si="11"/>
        <v>Employee_0114</v>
      </c>
      <c r="V115" t="str">
        <f t="shared" si="12"/>
        <v>Female</v>
      </c>
      <c r="W115" t="str">
        <f t="shared" si="13"/>
        <v>Marketing</v>
      </c>
      <c r="X115" t="str">
        <f t="shared" si="14"/>
        <v>Pune</v>
      </c>
      <c r="Y115" t="str">
        <f t="shared" si="15"/>
        <v>Valid</v>
      </c>
      <c r="Z115" t="str">
        <f t="shared" si="16"/>
        <v>Valid</v>
      </c>
      <c r="AA115" t="str">
        <f t="shared" si="17"/>
        <v>Valid</v>
      </c>
      <c r="AB115" s="9" t="str">
        <f t="shared" si="18"/>
        <v>Valid</v>
      </c>
      <c r="AC115" s="9" t="str">
        <f t="shared" si="19"/>
        <v>Valid</v>
      </c>
      <c r="AD115" s="9" t="str">
        <f>IF(AND(Y115="Valid",Z115="Valid",AA115="Valid",AB115="Valid",COUNTIF($A$2:A115,A115)=1),"Include","Exclude")</f>
        <v>Include</v>
      </c>
    </row>
    <row r="116" spans="1:30" x14ac:dyDescent="0.35">
      <c r="A116" t="s">
        <v>277</v>
      </c>
      <c r="B116" t="s">
        <v>278</v>
      </c>
      <c r="C116" t="s">
        <v>31</v>
      </c>
      <c r="D116">
        <v>22</v>
      </c>
      <c r="E116" t="s">
        <v>55</v>
      </c>
      <c r="F116" t="s">
        <v>23</v>
      </c>
      <c r="G116" t="s">
        <v>24</v>
      </c>
      <c r="H116" t="s">
        <v>52</v>
      </c>
      <c r="I116">
        <v>1</v>
      </c>
      <c r="J116">
        <v>68843</v>
      </c>
      <c r="K116" t="s">
        <v>45</v>
      </c>
      <c r="L116">
        <v>10</v>
      </c>
      <c r="M116">
        <v>30</v>
      </c>
      <c r="N116">
        <v>0</v>
      </c>
      <c r="O116" t="s">
        <v>27</v>
      </c>
      <c r="P116" t="s">
        <v>28</v>
      </c>
      <c r="Q116">
        <v>2</v>
      </c>
      <c r="R116" t="s">
        <v>28</v>
      </c>
      <c r="S116" t="s">
        <v>27</v>
      </c>
      <c r="T116" t="b">
        <f t="shared" si="10"/>
        <v>0</v>
      </c>
      <c r="U116" t="str">
        <f t="shared" si="11"/>
        <v>Employee_0115</v>
      </c>
      <c r="V116" t="str">
        <f t="shared" si="12"/>
        <v>Male</v>
      </c>
      <c r="W116" t="str">
        <f t="shared" si="13"/>
        <v>Finance</v>
      </c>
      <c r="X116" t="str">
        <f t="shared" si="14"/>
        <v>Mumbai</v>
      </c>
      <c r="Y116" t="str">
        <f t="shared" si="15"/>
        <v>Valid</v>
      </c>
      <c r="Z116" t="str">
        <f t="shared" si="16"/>
        <v>Valid</v>
      </c>
      <c r="AA116" t="str">
        <f t="shared" si="17"/>
        <v>Valid</v>
      </c>
      <c r="AB116" s="9" t="str">
        <f t="shared" si="18"/>
        <v>Valid</v>
      </c>
      <c r="AC116" s="9" t="str">
        <f t="shared" si="19"/>
        <v>Valid</v>
      </c>
      <c r="AD116" s="9" t="str">
        <f>IF(AND(Y116="Valid",Z116="Valid",AA116="Valid",AB116="Valid",COUNTIF($A$2:A116,A116)=1),"Include","Exclude")</f>
        <v>Include</v>
      </c>
    </row>
    <row r="117" spans="1:30" x14ac:dyDescent="0.35">
      <c r="A117" t="s">
        <v>279</v>
      </c>
      <c r="B117" t="s">
        <v>280</v>
      </c>
      <c r="C117" t="s">
        <v>31</v>
      </c>
      <c r="D117">
        <v>45</v>
      </c>
      <c r="E117" t="s">
        <v>22</v>
      </c>
      <c r="F117" t="s">
        <v>23</v>
      </c>
      <c r="G117" t="s">
        <v>24</v>
      </c>
      <c r="H117" t="s">
        <v>131</v>
      </c>
      <c r="I117">
        <v>12</v>
      </c>
      <c r="J117">
        <v>67514</v>
      </c>
      <c r="K117" t="s">
        <v>26</v>
      </c>
      <c r="L117">
        <v>10</v>
      </c>
      <c r="M117">
        <v>35</v>
      </c>
      <c r="N117">
        <v>0</v>
      </c>
      <c r="O117" t="s">
        <v>27</v>
      </c>
      <c r="P117" t="s">
        <v>28</v>
      </c>
      <c r="Q117">
        <v>3</v>
      </c>
      <c r="R117" t="s">
        <v>27</v>
      </c>
      <c r="S117" t="s">
        <v>27</v>
      </c>
      <c r="T117" t="b">
        <f t="shared" si="10"/>
        <v>0</v>
      </c>
      <c r="U117" t="str">
        <f t="shared" si="11"/>
        <v>Employee_0116</v>
      </c>
      <c r="V117" t="str">
        <f t="shared" si="12"/>
        <v>Male</v>
      </c>
      <c r="W117" t="str">
        <f t="shared" si="13"/>
        <v>Finance</v>
      </c>
      <c r="X117" t="str">
        <f t="shared" si="14"/>
        <v>Pune</v>
      </c>
      <c r="Y117" t="str">
        <f t="shared" si="15"/>
        <v>Valid</v>
      </c>
      <c r="Z117" t="str">
        <f t="shared" si="16"/>
        <v>Valid</v>
      </c>
      <c r="AA117" t="str">
        <f t="shared" si="17"/>
        <v>Valid</v>
      </c>
      <c r="AB117" s="9" t="str">
        <f t="shared" si="18"/>
        <v>Valid</v>
      </c>
      <c r="AC117" s="9" t="str">
        <f t="shared" si="19"/>
        <v>Valid</v>
      </c>
      <c r="AD117" s="9" t="str">
        <f>IF(AND(Y117="Valid",Z117="Valid",AA117="Valid",AB117="Valid",COUNTIF($A$2:A117,A117)=1),"Include","Exclude")</f>
        <v>Include</v>
      </c>
    </row>
    <row r="118" spans="1:30" x14ac:dyDescent="0.35">
      <c r="A118" t="s">
        <v>281</v>
      </c>
      <c r="B118" t="s">
        <v>282</v>
      </c>
      <c r="C118" t="s">
        <v>31</v>
      </c>
      <c r="D118">
        <v>24</v>
      </c>
      <c r="E118" t="s">
        <v>55</v>
      </c>
      <c r="F118" t="s">
        <v>43</v>
      </c>
      <c r="G118" t="s">
        <v>24</v>
      </c>
      <c r="H118" t="s">
        <v>52</v>
      </c>
      <c r="I118">
        <v>2</v>
      </c>
      <c r="J118">
        <v>65088</v>
      </c>
      <c r="K118" t="s">
        <v>45</v>
      </c>
      <c r="L118">
        <v>8</v>
      </c>
      <c r="M118">
        <v>20</v>
      </c>
      <c r="N118">
        <v>6</v>
      </c>
      <c r="O118" t="s">
        <v>27</v>
      </c>
      <c r="P118" t="s">
        <v>28</v>
      </c>
      <c r="Q118">
        <v>3</v>
      </c>
      <c r="R118" t="s">
        <v>27</v>
      </c>
      <c r="S118" t="s">
        <v>27</v>
      </c>
      <c r="T118" t="b">
        <f t="shared" si="10"/>
        <v>0</v>
      </c>
      <c r="U118" t="str">
        <f t="shared" si="11"/>
        <v>Employee_0117</v>
      </c>
      <c r="V118" t="str">
        <f t="shared" si="12"/>
        <v>Male</v>
      </c>
      <c r="W118" t="str">
        <f t="shared" si="13"/>
        <v>It</v>
      </c>
      <c r="X118" t="str">
        <f t="shared" si="14"/>
        <v>Mumbai</v>
      </c>
      <c r="Y118" t="str">
        <f t="shared" si="15"/>
        <v>Valid</v>
      </c>
      <c r="Z118" t="str">
        <f t="shared" si="16"/>
        <v>Valid</v>
      </c>
      <c r="AA118" t="str">
        <f t="shared" si="17"/>
        <v>Valid</v>
      </c>
      <c r="AB118" s="9" t="str">
        <f t="shared" si="18"/>
        <v>Valid</v>
      </c>
      <c r="AC118" s="9" t="str">
        <f t="shared" si="19"/>
        <v>Valid</v>
      </c>
      <c r="AD118" s="9" t="str">
        <f>IF(AND(Y118="Valid",Z118="Valid",AA118="Valid",AB118="Valid",COUNTIF($A$2:A118,A118)=1),"Include","Exclude")</f>
        <v>Include</v>
      </c>
    </row>
    <row r="119" spans="1:30" x14ac:dyDescent="0.35">
      <c r="A119" t="s">
        <v>283</v>
      </c>
      <c r="B119" t="s">
        <v>284</v>
      </c>
      <c r="C119" t="s">
        <v>21</v>
      </c>
      <c r="D119">
        <v>50</v>
      </c>
      <c r="E119" t="s">
        <v>55</v>
      </c>
      <c r="F119" t="s">
        <v>23</v>
      </c>
      <c r="G119" t="s">
        <v>24</v>
      </c>
      <c r="H119" t="s">
        <v>25</v>
      </c>
      <c r="I119">
        <v>13</v>
      </c>
      <c r="J119">
        <v>79644</v>
      </c>
      <c r="K119" t="s">
        <v>35</v>
      </c>
      <c r="L119">
        <v>4</v>
      </c>
      <c r="M119">
        <v>43</v>
      </c>
      <c r="N119">
        <v>5</v>
      </c>
      <c r="O119" t="s">
        <v>28</v>
      </c>
      <c r="P119" t="s">
        <v>27</v>
      </c>
      <c r="Q119">
        <v>4</v>
      </c>
      <c r="R119" t="s">
        <v>27</v>
      </c>
      <c r="S119" t="s">
        <v>27</v>
      </c>
      <c r="T119" t="b">
        <f t="shared" si="10"/>
        <v>0</v>
      </c>
      <c r="U119" t="str">
        <f t="shared" si="11"/>
        <v>Employee_0118</v>
      </c>
      <c r="V119" t="str">
        <f t="shared" si="12"/>
        <v>Female</v>
      </c>
      <c r="W119" t="str">
        <f t="shared" si="13"/>
        <v>Finance</v>
      </c>
      <c r="X119" t="str">
        <f t="shared" si="14"/>
        <v>Hyderabad</v>
      </c>
      <c r="Y119" t="str">
        <f t="shared" si="15"/>
        <v>Valid</v>
      </c>
      <c r="Z119" t="str">
        <f t="shared" si="16"/>
        <v>Valid</v>
      </c>
      <c r="AA119" t="str">
        <f t="shared" si="17"/>
        <v>Valid</v>
      </c>
      <c r="AB119" s="9" t="str">
        <f t="shared" si="18"/>
        <v>Valid</v>
      </c>
      <c r="AC119" s="9" t="str">
        <f t="shared" si="19"/>
        <v>Valid</v>
      </c>
      <c r="AD119" s="9" t="str">
        <f>IF(AND(Y119="Valid",Z119="Valid",AA119="Valid",AB119="Valid",COUNTIF($A$2:A119,A119)=1),"Include","Exclude")</f>
        <v>Include</v>
      </c>
    </row>
    <row r="120" spans="1:30" x14ac:dyDescent="0.35">
      <c r="A120" t="s">
        <v>285</v>
      </c>
      <c r="B120" t="s">
        <v>286</v>
      </c>
      <c r="C120" t="s">
        <v>31</v>
      </c>
      <c r="D120">
        <v>44</v>
      </c>
      <c r="E120" t="s">
        <v>55</v>
      </c>
      <c r="F120" t="s">
        <v>60</v>
      </c>
      <c r="G120" t="s">
        <v>69</v>
      </c>
      <c r="H120" t="s">
        <v>34</v>
      </c>
      <c r="I120">
        <v>11</v>
      </c>
      <c r="J120">
        <v>67089</v>
      </c>
      <c r="K120" t="s">
        <v>45</v>
      </c>
      <c r="L120">
        <v>5</v>
      </c>
      <c r="M120">
        <v>40</v>
      </c>
      <c r="N120">
        <v>4</v>
      </c>
      <c r="O120" t="s">
        <v>27</v>
      </c>
      <c r="P120" t="s">
        <v>28</v>
      </c>
      <c r="Q120">
        <v>4</v>
      </c>
      <c r="R120" t="s">
        <v>27</v>
      </c>
      <c r="S120" t="s">
        <v>27</v>
      </c>
      <c r="T120" t="b">
        <f t="shared" si="10"/>
        <v>0</v>
      </c>
      <c r="U120" t="str">
        <f t="shared" si="11"/>
        <v>Employee_0119</v>
      </c>
      <c r="V120" t="str">
        <f t="shared" si="12"/>
        <v>Male</v>
      </c>
      <c r="W120" t="str">
        <f t="shared" si="13"/>
        <v>Hr</v>
      </c>
      <c r="X120" t="str">
        <f t="shared" si="14"/>
        <v>Gurgaon</v>
      </c>
      <c r="Y120" t="str">
        <f t="shared" si="15"/>
        <v>Valid</v>
      </c>
      <c r="Z120" t="str">
        <f t="shared" si="16"/>
        <v>Valid</v>
      </c>
      <c r="AA120" t="str">
        <f t="shared" si="17"/>
        <v>Valid</v>
      </c>
      <c r="AB120" s="9" t="str">
        <f t="shared" si="18"/>
        <v>Valid</v>
      </c>
      <c r="AC120" s="9" t="str">
        <f t="shared" si="19"/>
        <v>Valid</v>
      </c>
      <c r="AD120" s="9" t="str">
        <f>IF(AND(Y120="Valid",Z120="Valid",AA120="Valid",AB120="Valid",COUNTIF($A$2:A120,A120)=1),"Include","Exclude")</f>
        <v>Include</v>
      </c>
    </row>
    <row r="121" spans="1:30" x14ac:dyDescent="0.35">
      <c r="A121" t="s">
        <v>287</v>
      </c>
      <c r="B121" t="s">
        <v>288</v>
      </c>
      <c r="C121" t="s">
        <v>31</v>
      </c>
      <c r="D121">
        <v>47</v>
      </c>
      <c r="E121" t="s">
        <v>55</v>
      </c>
      <c r="F121" t="s">
        <v>48</v>
      </c>
      <c r="G121" t="s">
        <v>24</v>
      </c>
      <c r="H121" t="s">
        <v>52</v>
      </c>
      <c r="I121">
        <v>10</v>
      </c>
      <c r="J121">
        <v>60667</v>
      </c>
      <c r="K121" t="s">
        <v>26</v>
      </c>
      <c r="L121">
        <v>5</v>
      </c>
      <c r="M121">
        <v>60</v>
      </c>
      <c r="N121">
        <v>7</v>
      </c>
      <c r="O121" t="s">
        <v>27</v>
      </c>
      <c r="P121" t="s">
        <v>28</v>
      </c>
      <c r="Q121">
        <v>1</v>
      </c>
      <c r="R121" t="s">
        <v>27</v>
      </c>
      <c r="S121" t="s">
        <v>27</v>
      </c>
      <c r="T121" t="b">
        <f t="shared" si="10"/>
        <v>0</v>
      </c>
      <c r="U121" t="str">
        <f t="shared" si="11"/>
        <v>Employee_0120</v>
      </c>
      <c r="V121" t="str">
        <f t="shared" si="12"/>
        <v>Male</v>
      </c>
      <c r="W121" t="str">
        <f t="shared" si="13"/>
        <v>Customer Support</v>
      </c>
      <c r="X121" t="str">
        <f t="shared" si="14"/>
        <v>Mumbai</v>
      </c>
      <c r="Y121" t="str">
        <f t="shared" si="15"/>
        <v>Valid</v>
      </c>
      <c r="Z121" t="str">
        <f t="shared" si="16"/>
        <v>Valid</v>
      </c>
      <c r="AA121" t="str">
        <f t="shared" si="17"/>
        <v>Valid</v>
      </c>
      <c r="AB121" s="9" t="str">
        <f t="shared" si="18"/>
        <v>Valid</v>
      </c>
      <c r="AC121" s="9" t="str">
        <f t="shared" si="19"/>
        <v>Valid</v>
      </c>
      <c r="AD121" s="9" t="str">
        <f>IF(AND(Y121="Valid",Z121="Valid",AA121="Valid",AB121="Valid",COUNTIF($A$2:A121,A121)=1),"Include","Exclude")</f>
        <v>Include</v>
      </c>
    </row>
    <row r="122" spans="1:30" hidden="1" x14ac:dyDescent="0.35">
      <c r="A122" t="s">
        <v>289</v>
      </c>
      <c r="B122" t="s">
        <v>290</v>
      </c>
      <c r="C122" t="s">
        <v>21</v>
      </c>
      <c r="D122">
        <v>28</v>
      </c>
      <c r="E122" t="s">
        <v>55</v>
      </c>
      <c r="F122" t="s">
        <v>39</v>
      </c>
      <c r="G122" t="s">
        <v>44</v>
      </c>
      <c r="H122" t="s">
        <v>25</v>
      </c>
      <c r="I122">
        <v>5</v>
      </c>
      <c r="J122">
        <v>49919</v>
      </c>
      <c r="K122" t="s">
        <v>26</v>
      </c>
      <c r="L122">
        <v>0</v>
      </c>
      <c r="M122">
        <v>36</v>
      </c>
      <c r="N122">
        <v>6</v>
      </c>
      <c r="O122" t="s">
        <v>27</v>
      </c>
      <c r="P122" t="s">
        <v>27</v>
      </c>
      <c r="Q122">
        <v>5</v>
      </c>
      <c r="R122" t="s">
        <v>27</v>
      </c>
      <c r="S122" t="s">
        <v>27</v>
      </c>
      <c r="T122" t="b">
        <f t="shared" si="10"/>
        <v>0</v>
      </c>
      <c r="U122" t="str">
        <f t="shared" si="11"/>
        <v>Employee_0121</v>
      </c>
      <c r="V122" t="str">
        <f t="shared" si="12"/>
        <v>Female</v>
      </c>
      <c r="W122" t="str">
        <f t="shared" si="13"/>
        <v>Operations</v>
      </c>
      <c r="X122" t="str">
        <f t="shared" si="14"/>
        <v>Hyderabad</v>
      </c>
      <c r="Y122" t="str">
        <f t="shared" si="15"/>
        <v>Valid</v>
      </c>
      <c r="Z122" t="str">
        <f t="shared" si="16"/>
        <v>Check</v>
      </c>
      <c r="AA122" t="str">
        <f t="shared" si="17"/>
        <v>Valid</v>
      </c>
      <c r="AB122" s="9" t="str">
        <f t="shared" si="18"/>
        <v>Valid</v>
      </c>
      <c r="AC122" s="9" t="str">
        <f t="shared" si="19"/>
        <v>Check</v>
      </c>
      <c r="AD122" s="9" t="str">
        <f>IF(AND(Y122="Valid",Z122="Valid",AA122="Valid",AB122="Valid",COUNTIF($A$2:A122,A122)=1),"Include","Exclude")</f>
        <v>Exclude</v>
      </c>
    </row>
    <row r="123" spans="1:30" x14ac:dyDescent="0.35">
      <c r="A123" t="s">
        <v>291</v>
      </c>
      <c r="B123" t="s">
        <v>292</v>
      </c>
      <c r="C123" t="s">
        <v>21</v>
      </c>
      <c r="D123">
        <v>51</v>
      </c>
      <c r="E123" t="s">
        <v>55</v>
      </c>
      <c r="F123" t="s">
        <v>48</v>
      </c>
      <c r="G123" t="s">
        <v>69</v>
      </c>
      <c r="H123" t="s">
        <v>70</v>
      </c>
      <c r="I123">
        <v>25</v>
      </c>
      <c r="J123">
        <v>56313</v>
      </c>
      <c r="K123" t="s">
        <v>26</v>
      </c>
      <c r="L123">
        <v>7</v>
      </c>
      <c r="M123">
        <v>23</v>
      </c>
      <c r="N123">
        <v>5</v>
      </c>
      <c r="O123" t="s">
        <v>27</v>
      </c>
      <c r="P123" t="s">
        <v>28</v>
      </c>
      <c r="Q123">
        <v>3</v>
      </c>
      <c r="R123" t="s">
        <v>27</v>
      </c>
      <c r="S123" t="s">
        <v>27</v>
      </c>
      <c r="T123" t="b">
        <f t="shared" si="10"/>
        <v>0</v>
      </c>
      <c r="U123" t="str">
        <f t="shared" si="11"/>
        <v>Employee_0122</v>
      </c>
      <c r="V123" t="str">
        <f t="shared" si="12"/>
        <v>Female</v>
      </c>
      <c r="W123" t="str">
        <f t="shared" si="13"/>
        <v>Customer Support</v>
      </c>
      <c r="X123" t="str">
        <f t="shared" si="14"/>
        <v>Bangalore</v>
      </c>
      <c r="Y123" t="str">
        <f t="shared" si="15"/>
        <v>Valid</v>
      </c>
      <c r="Z123" t="str">
        <f t="shared" si="16"/>
        <v>Valid</v>
      </c>
      <c r="AA123" t="str">
        <f t="shared" si="17"/>
        <v>Valid</v>
      </c>
      <c r="AB123" s="9" t="str">
        <f t="shared" si="18"/>
        <v>Valid</v>
      </c>
      <c r="AC123" s="9" t="str">
        <f t="shared" si="19"/>
        <v>Valid</v>
      </c>
      <c r="AD123" s="9" t="str">
        <f>IF(AND(Y123="Valid",Z123="Valid",AA123="Valid",AB123="Valid",COUNTIF($A$2:A123,A123)=1),"Include","Exclude")</f>
        <v>Include</v>
      </c>
    </row>
    <row r="124" spans="1:30" x14ac:dyDescent="0.35">
      <c r="A124" t="s">
        <v>293</v>
      </c>
      <c r="B124" t="s">
        <v>294</v>
      </c>
      <c r="C124" t="s">
        <v>31</v>
      </c>
      <c r="D124">
        <v>30</v>
      </c>
      <c r="E124" t="s">
        <v>22</v>
      </c>
      <c r="F124" t="s">
        <v>43</v>
      </c>
      <c r="G124" t="s">
        <v>44</v>
      </c>
      <c r="H124" t="s">
        <v>49</v>
      </c>
      <c r="I124">
        <v>5</v>
      </c>
      <c r="J124">
        <v>70395</v>
      </c>
      <c r="K124" t="s">
        <v>45</v>
      </c>
      <c r="L124">
        <v>5</v>
      </c>
      <c r="M124">
        <v>22</v>
      </c>
      <c r="N124">
        <v>7</v>
      </c>
      <c r="O124" t="s">
        <v>27</v>
      </c>
      <c r="P124" t="s">
        <v>27</v>
      </c>
      <c r="Q124">
        <v>2</v>
      </c>
      <c r="R124" t="s">
        <v>27</v>
      </c>
      <c r="S124" t="s">
        <v>27</v>
      </c>
      <c r="T124" t="b">
        <f t="shared" si="10"/>
        <v>0</v>
      </c>
      <c r="U124" t="str">
        <f t="shared" si="11"/>
        <v>Employee_0123</v>
      </c>
      <c r="V124" t="str">
        <f t="shared" si="12"/>
        <v>Male</v>
      </c>
      <c r="W124" t="str">
        <f t="shared" si="13"/>
        <v>It</v>
      </c>
      <c r="X124" t="str">
        <f t="shared" si="14"/>
        <v>Delhi</v>
      </c>
      <c r="Y124" t="str">
        <f t="shared" si="15"/>
        <v>Valid</v>
      </c>
      <c r="Z124" t="str">
        <f t="shared" si="16"/>
        <v>Valid</v>
      </c>
      <c r="AA124" t="str">
        <f t="shared" si="17"/>
        <v>Valid</v>
      </c>
      <c r="AB124" s="9" t="str">
        <f t="shared" si="18"/>
        <v>Valid</v>
      </c>
      <c r="AC124" s="9" t="str">
        <f t="shared" si="19"/>
        <v>Valid</v>
      </c>
      <c r="AD124" s="9" t="str">
        <f>IF(AND(Y124="Valid",Z124="Valid",AA124="Valid",AB124="Valid",COUNTIF($A$2:A124,A124)=1),"Include","Exclude")</f>
        <v>Include</v>
      </c>
    </row>
    <row r="125" spans="1:30" x14ac:dyDescent="0.35">
      <c r="A125" t="s">
        <v>295</v>
      </c>
      <c r="B125" t="s">
        <v>296</v>
      </c>
      <c r="C125" t="s">
        <v>31</v>
      </c>
      <c r="D125">
        <v>22</v>
      </c>
      <c r="E125" t="s">
        <v>38</v>
      </c>
      <c r="F125" t="s">
        <v>60</v>
      </c>
      <c r="G125" t="s">
        <v>24</v>
      </c>
      <c r="H125" t="s">
        <v>49</v>
      </c>
      <c r="I125">
        <v>1</v>
      </c>
      <c r="J125">
        <v>63566</v>
      </c>
      <c r="K125" t="s">
        <v>45</v>
      </c>
      <c r="L125">
        <v>9</v>
      </c>
      <c r="M125">
        <v>31</v>
      </c>
      <c r="N125">
        <v>7</v>
      </c>
      <c r="O125" t="s">
        <v>28</v>
      </c>
      <c r="P125" t="s">
        <v>28</v>
      </c>
      <c r="Q125">
        <v>5</v>
      </c>
      <c r="R125" t="s">
        <v>27</v>
      </c>
      <c r="S125" t="s">
        <v>27</v>
      </c>
      <c r="T125" t="b">
        <f t="shared" si="10"/>
        <v>0</v>
      </c>
      <c r="U125" t="str">
        <f t="shared" si="11"/>
        <v>Employee_0124</v>
      </c>
      <c r="V125" t="str">
        <f t="shared" si="12"/>
        <v>Male</v>
      </c>
      <c r="W125" t="str">
        <f t="shared" si="13"/>
        <v>Hr</v>
      </c>
      <c r="X125" t="str">
        <f t="shared" si="14"/>
        <v>Delhi</v>
      </c>
      <c r="Y125" t="str">
        <f t="shared" si="15"/>
        <v>Valid</v>
      </c>
      <c r="Z125" t="str">
        <f t="shared" si="16"/>
        <v>Valid</v>
      </c>
      <c r="AA125" t="str">
        <f t="shared" si="17"/>
        <v>Valid</v>
      </c>
      <c r="AB125" s="9" t="str">
        <f t="shared" si="18"/>
        <v>Valid</v>
      </c>
      <c r="AC125" s="9" t="str">
        <f t="shared" si="19"/>
        <v>Valid</v>
      </c>
      <c r="AD125" s="9" t="str">
        <f>IF(AND(Y125="Valid",Z125="Valid",AA125="Valid",AB125="Valid",COUNTIF($A$2:A125,A125)=1),"Include","Exclude")</f>
        <v>Include</v>
      </c>
    </row>
    <row r="126" spans="1:30" x14ac:dyDescent="0.35">
      <c r="A126" t="s">
        <v>297</v>
      </c>
      <c r="B126" t="s">
        <v>298</v>
      </c>
      <c r="C126" t="s">
        <v>31</v>
      </c>
      <c r="D126">
        <v>36</v>
      </c>
      <c r="E126" t="s">
        <v>55</v>
      </c>
      <c r="F126" t="s">
        <v>23</v>
      </c>
      <c r="G126" t="s">
        <v>24</v>
      </c>
      <c r="H126" t="s">
        <v>49</v>
      </c>
      <c r="I126">
        <v>12</v>
      </c>
      <c r="J126">
        <v>73027</v>
      </c>
      <c r="K126" t="s">
        <v>35</v>
      </c>
      <c r="L126">
        <v>6</v>
      </c>
      <c r="M126">
        <v>15</v>
      </c>
      <c r="N126">
        <v>5</v>
      </c>
      <c r="O126" t="s">
        <v>28</v>
      </c>
      <c r="P126" t="s">
        <v>28</v>
      </c>
      <c r="Q126">
        <v>3</v>
      </c>
      <c r="R126" t="s">
        <v>27</v>
      </c>
      <c r="S126" t="s">
        <v>27</v>
      </c>
      <c r="T126" t="b">
        <f t="shared" si="10"/>
        <v>0</v>
      </c>
      <c r="U126" t="str">
        <f t="shared" si="11"/>
        <v>Employee_0125</v>
      </c>
      <c r="V126" t="str">
        <f t="shared" si="12"/>
        <v>Male</v>
      </c>
      <c r="W126" t="str">
        <f t="shared" si="13"/>
        <v>Finance</v>
      </c>
      <c r="X126" t="str">
        <f t="shared" si="14"/>
        <v>Delhi</v>
      </c>
      <c r="Y126" t="str">
        <f t="shared" si="15"/>
        <v>Valid</v>
      </c>
      <c r="Z126" t="str">
        <f t="shared" si="16"/>
        <v>Valid</v>
      </c>
      <c r="AA126" t="str">
        <f t="shared" si="17"/>
        <v>Valid</v>
      </c>
      <c r="AB126" s="9" t="str">
        <f t="shared" si="18"/>
        <v>Valid</v>
      </c>
      <c r="AC126" s="9" t="str">
        <f t="shared" si="19"/>
        <v>Valid</v>
      </c>
      <c r="AD126" s="9" t="str">
        <f>IF(AND(Y126="Valid",Z126="Valid",AA126="Valid",AB126="Valid",COUNTIF($A$2:A126,A126)=1),"Include","Exclude")</f>
        <v>Include</v>
      </c>
    </row>
    <row r="127" spans="1:30" x14ac:dyDescent="0.35">
      <c r="A127" t="s">
        <v>299</v>
      </c>
      <c r="B127" t="s">
        <v>300</v>
      </c>
      <c r="C127" t="s">
        <v>21</v>
      </c>
      <c r="D127">
        <v>39</v>
      </c>
      <c r="E127" t="s">
        <v>55</v>
      </c>
      <c r="F127" t="s">
        <v>60</v>
      </c>
      <c r="G127" t="s">
        <v>69</v>
      </c>
      <c r="H127" t="s">
        <v>131</v>
      </c>
      <c r="I127">
        <v>11</v>
      </c>
      <c r="J127">
        <v>51940</v>
      </c>
      <c r="K127" t="s">
        <v>35</v>
      </c>
      <c r="L127">
        <v>7</v>
      </c>
      <c r="M127">
        <v>26</v>
      </c>
      <c r="N127">
        <v>6</v>
      </c>
      <c r="O127" t="s">
        <v>28</v>
      </c>
      <c r="P127" t="s">
        <v>28</v>
      </c>
      <c r="Q127">
        <v>2</v>
      </c>
      <c r="R127" t="s">
        <v>27</v>
      </c>
      <c r="S127" t="s">
        <v>27</v>
      </c>
      <c r="T127" t="b">
        <f t="shared" si="10"/>
        <v>0</v>
      </c>
      <c r="U127" t="str">
        <f t="shared" si="11"/>
        <v>Employee_0126</v>
      </c>
      <c r="V127" t="str">
        <f t="shared" si="12"/>
        <v>Female</v>
      </c>
      <c r="W127" t="str">
        <f t="shared" si="13"/>
        <v>Hr</v>
      </c>
      <c r="X127" t="str">
        <f t="shared" si="14"/>
        <v>Pune</v>
      </c>
      <c r="Y127" t="str">
        <f t="shared" si="15"/>
        <v>Valid</v>
      </c>
      <c r="Z127" t="str">
        <f t="shared" si="16"/>
        <v>Valid</v>
      </c>
      <c r="AA127" t="str">
        <f t="shared" si="17"/>
        <v>Valid</v>
      </c>
      <c r="AB127" s="9" t="str">
        <f t="shared" si="18"/>
        <v>Valid</v>
      </c>
      <c r="AC127" s="9" t="str">
        <f t="shared" si="19"/>
        <v>Valid</v>
      </c>
      <c r="AD127" s="9" t="str">
        <f>IF(AND(Y127="Valid",Z127="Valid",AA127="Valid",AB127="Valid",COUNTIF($A$2:A127,A127)=1),"Include","Exclude")</f>
        <v>Include</v>
      </c>
    </row>
    <row r="128" spans="1:30" x14ac:dyDescent="0.35">
      <c r="A128" t="s">
        <v>301</v>
      </c>
      <c r="B128" t="s">
        <v>302</v>
      </c>
      <c r="C128" t="s">
        <v>31</v>
      </c>
      <c r="D128">
        <v>34</v>
      </c>
      <c r="E128" t="s">
        <v>22</v>
      </c>
      <c r="F128" t="s">
        <v>48</v>
      </c>
      <c r="G128" t="s">
        <v>24</v>
      </c>
      <c r="H128" t="s">
        <v>70</v>
      </c>
      <c r="I128">
        <v>10</v>
      </c>
      <c r="J128">
        <v>45344</v>
      </c>
      <c r="K128" t="s">
        <v>45</v>
      </c>
      <c r="L128">
        <v>3</v>
      </c>
      <c r="M128">
        <v>31</v>
      </c>
      <c r="N128">
        <v>2</v>
      </c>
      <c r="O128" t="s">
        <v>27</v>
      </c>
      <c r="P128" t="s">
        <v>27</v>
      </c>
      <c r="Q128">
        <v>4</v>
      </c>
      <c r="R128" t="s">
        <v>27</v>
      </c>
      <c r="S128" t="s">
        <v>27</v>
      </c>
      <c r="T128" t="b">
        <f t="shared" si="10"/>
        <v>0</v>
      </c>
      <c r="U128" t="str">
        <f t="shared" si="11"/>
        <v>Employee_0127</v>
      </c>
      <c r="V128" t="str">
        <f t="shared" si="12"/>
        <v>Male</v>
      </c>
      <c r="W128" t="str">
        <f t="shared" si="13"/>
        <v>Customer Support</v>
      </c>
      <c r="X128" t="str">
        <f t="shared" si="14"/>
        <v>Bangalore</v>
      </c>
      <c r="Y128" t="str">
        <f t="shared" si="15"/>
        <v>Valid</v>
      </c>
      <c r="Z128" t="str">
        <f t="shared" si="16"/>
        <v>Valid</v>
      </c>
      <c r="AA128" t="str">
        <f t="shared" si="17"/>
        <v>Valid</v>
      </c>
      <c r="AB128" s="9" t="str">
        <f t="shared" si="18"/>
        <v>Valid</v>
      </c>
      <c r="AC128" s="9" t="str">
        <f t="shared" si="19"/>
        <v>Valid</v>
      </c>
      <c r="AD128" s="9" t="str">
        <f>IF(AND(Y128="Valid",Z128="Valid",AA128="Valid",AB128="Valid",COUNTIF($A$2:A128,A128)=1),"Include","Exclude")</f>
        <v>Include</v>
      </c>
    </row>
    <row r="129" spans="1:30" x14ac:dyDescent="0.35">
      <c r="A129" t="s">
        <v>303</v>
      </c>
      <c r="B129" t="s">
        <v>304</v>
      </c>
      <c r="C129" t="s">
        <v>21</v>
      </c>
      <c r="D129">
        <v>54</v>
      </c>
      <c r="E129" t="s">
        <v>55</v>
      </c>
      <c r="F129" t="s">
        <v>43</v>
      </c>
      <c r="G129" t="s">
        <v>44</v>
      </c>
      <c r="H129" t="s">
        <v>61</v>
      </c>
      <c r="I129">
        <v>20</v>
      </c>
      <c r="J129">
        <v>82000</v>
      </c>
      <c r="K129" t="s">
        <v>26</v>
      </c>
      <c r="L129">
        <v>8</v>
      </c>
      <c r="M129">
        <v>36</v>
      </c>
      <c r="N129">
        <v>4</v>
      </c>
      <c r="O129" t="s">
        <v>27</v>
      </c>
      <c r="P129" t="s">
        <v>28</v>
      </c>
      <c r="Q129">
        <v>2</v>
      </c>
      <c r="R129" t="s">
        <v>27</v>
      </c>
      <c r="S129" t="s">
        <v>27</v>
      </c>
      <c r="T129" t="b">
        <f t="shared" si="10"/>
        <v>0</v>
      </c>
      <c r="U129" t="str">
        <f t="shared" si="11"/>
        <v>Employee_0128</v>
      </c>
      <c r="V129" t="str">
        <f t="shared" si="12"/>
        <v>Female</v>
      </c>
      <c r="W129" t="str">
        <f t="shared" si="13"/>
        <v>It</v>
      </c>
      <c r="X129" t="str">
        <f t="shared" si="14"/>
        <v>Noida</v>
      </c>
      <c r="Y129" t="str">
        <f t="shared" si="15"/>
        <v>Valid</v>
      </c>
      <c r="Z129" t="str">
        <f t="shared" si="16"/>
        <v>Valid</v>
      </c>
      <c r="AA129" t="str">
        <f t="shared" si="17"/>
        <v>Valid</v>
      </c>
      <c r="AB129" s="9" t="str">
        <f t="shared" si="18"/>
        <v>Valid</v>
      </c>
      <c r="AC129" s="9" t="str">
        <f t="shared" si="19"/>
        <v>Valid</v>
      </c>
      <c r="AD129" s="9" t="str">
        <f>IF(AND(Y129="Valid",Z129="Valid",AA129="Valid",AB129="Valid",COUNTIF($A$2:A129,A129)=1),"Include","Exclude")</f>
        <v>Include</v>
      </c>
    </row>
    <row r="130" spans="1:30" x14ac:dyDescent="0.35">
      <c r="A130" t="s">
        <v>305</v>
      </c>
      <c r="B130" t="s">
        <v>306</v>
      </c>
      <c r="C130" t="s">
        <v>31</v>
      </c>
      <c r="D130">
        <v>32</v>
      </c>
      <c r="E130" t="s">
        <v>55</v>
      </c>
      <c r="F130" t="s">
        <v>23</v>
      </c>
      <c r="G130" t="s">
        <v>24</v>
      </c>
      <c r="H130" t="s">
        <v>70</v>
      </c>
      <c r="I130">
        <v>9</v>
      </c>
      <c r="J130">
        <v>68836</v>
      </c>
      <c r="K130" t="s">
        <v>26</v>
      </c>
      <c r="L130">
        <v>5</v>
      </c>
      <c r="M130">
        <v>25</v>
      </c>
      <c r="N130">
        <v>2</v>
      </c>
      <c r="O130" t="s">
        <v>28</v>
      </c>
      <c r="P130" t="s">
        <v>28</v>
      </c>
      <c r="Q130">
        <v>4</v>
      </c>
      <c r="R130" t="s">
        <v>27</v>
      </c>
      <c r="S130" t="s">
        <v>27</v>
      </c>
      <c r="T130" t="b">
        <f t="shared" ref="T130:T193" si="20">COUNTIF($A$2:$A$503,A130)&gt;1</f>
        <v>0</v>
      </c>
      <c r="U130" t="str">
        <f t="shared" ref="U130:U193" si="21">TRIM(B130)</f>
        <v>Employee_0129</v>
      </c>
      <c r="V130" t="str">
        <f t="shared" ref="V130:V193" si="22">PROPER(TRIM(C130))</f>
        <v>Male</v>
      </c>
      <c r="W130" t="str">
        <f t="shared" ref="W130:W193" si="23">PROPER(TRIM(F130))</f>
        <v>Finance</v>
      </c>
      <c r="X130" t="str">
        <f t="shared" ref="X130:X193" si="24">PROPER(TRIM(H130))</f>
        <v>Bangalore</v>
      </c>
      <c r="Y130" t="str">
        <f t="shared" ref="Y130:Y193" si="25">IF(J130&lt;=0,"Check","Valid")</f>
        <v>Valid</v>
      </c>
      <c r="Z130" t="str">
        <f t="shared" ref="Z130:Z193" si="26">IF(AND(L130&gt;=1,L130&lt;=10),"Valid","Check")</f>
        <v>Valid</v>
      </c>
      <c r="AA130" t="str">
        <f t="shared" ref="AA130:AA193" si="27">IF(AND(M130&gt;=0,M130&lt;=200),"Valid","Check")</f>
        <v>Valid</v>
      </c>
      <c r="AB130" s="9" t="str">
        <f t="shared" ref="AB130:AB193" si="28">IF(AND(I130&gt;=0,I130&lt;=50),"Valid","Check")</f>
        <v>Valid</v>
      </c>
      <c r="AC130" s="9" t="str">
        <f t="shared" ref="AC130:AC193" si="29">IF(OR(T130=TRUE,Y130="Check",Z130="Check",AA130="Check",AB130="Check"),"Check","Valid")</f>
        <v>Valid</v>
      </c>
      <c r="AD130" s="9" t="str">
        <f>IF(AND(Y130="Valid",Z130="Valid",AA130="Valid",AB130="Valid",COUNTIF($A$2:A130,A130)=1),"Include","Exclude")</f>
        <v>Include</v>
      </c>
    </row>
    <row r="131" spans="1:30" x14ac:dyDescent="0.35">
      <c r="A131" t="s">
        <v>307</v>
      </c>
      <c r="B131" t="s">
        <v>308</v>
      </c>
      <c r="C131" t="s">
        <v>21</v>
      </c>
      <c r="D131">
        <v>24</v>
      </c>
      <c r="E131" t="s">
        <v>55</v>
      </c>
      <c r="F131" t="s">
        <v>23</v>
      </c>
      <c r="G131" t="s">
        <v>24</v>
      </c>
      <c r="H131" t="s">
        <v>131</v>
      </c>
      <c r="I131">
        <v>2</v>
      </c>
      <c r="J131">
        <v>63310</v>
      </c>
      <c r="K131" t="s">
        <v>26</v>
      </c>
      <c r="L131">
        <v>1</v>
      </c>
      <c r="M131">
        <v>44</v>
      </c>
      <c r="N131">
        <v>6</v>
      </c>
      <c r="O131" t="s">
        <v>27</v>
      </c>
      <c r="P131" t="s">
        <v>27</v>
      </c>
      <c r="Q131">
        <v>1</v>
      </c>
      <c r="R131" t="s">
        <v>27</v>
      </c>
      <c r="S131" t="s">
        <v>27</v>
      </c>
      <c r="T131" t="b">
        <f t="shared" si="20"/>
        <v>0</v>
      </c>
      <c r="U131" t="str">
        <f t="shared" si="21"/>
        <v>Employee_0130</v>
      </c>
      <c r="V131" t="str">
        <f t="shared" si="22"/>
        <v>Female</v>
      </c>
      <c r="W131" t="str">
        <f t="shared" si="23"/>
        <v>Finance</v>
      </c>
      <c r="X131" t="str">
        <f t="shared" si="24"/>
        <v>Pune</v>
      </c>
      <c r="Y131" t="str">
        <f t="shared" si="25"/>
        <v>Valid</v>
      </c>
      <c r="Z131" t="str">
        <f t="shared" si="26"/>
        <v>Valid</v>
      </c>
      <c r="AA131" t="str">
        <f t="shared" si="27"/>
        <v>Valid</v>
      </c>
      <c r="AB131" s="9" t="str">
        <f t="shared" si="28"/>
        <v>Valid</v>
      </c>
      <c r="AC131" s="9" t="str">
        <f t="shared" si="29"/>
        <v>Valid</v>
      </c>
      <c r="AD131" s="9" t="str">
        <f>IF(AND(Y131="Valid",Z131="Valid",AA131="Valid",AB131="Valid",COUNTIF($A$2:A131,A131)=1),"Include","Exclude")</f>
        <v>Include</v>
      </c>
    </row>
    <row r="132" spans="1:30" x14ac:dyDescent="0.35">
      <c r="A132" t="s">
        <v>309</v>
      </c>
      <c r="B132" t="s">
        <v>310</v>
      </c>
      <c r="C132" t="s">
        <v>31</v>
      </c>
      <c r="D132">
        <v>31</v>
      </c>
      <c r="E132" t="s">
        <v>55</v>
      </c>
      <c r="F132" t="s">
        <v>43</v>
      </c>
      <c r="G132" t="s">
        <v>24</v>
      </c>
      <c r="H132" t="s">
        <v>70</v>
      </c>
      <c r="I132">
        <v>5</v>
      </c>
      <c r="J132">
        <v>78071</v>
      </c>
      <c r="K132" t="s">
        <v>26</v>
      </c>
      <c r="L132">
        <v>2</v>
      </c>
      <c r="M132">
        <v>15</v>
      </c>
      <c r="N132">
        <v>3</v>
      </c>
      <c r="O132" t="s">
        <v>27</v>
      </c>
      <c r="P132" t="s">
        <v>27</v>
      </c>
      <c r="Q132">
        <v>4</v>
      </c>
      <c r="R132" t="s">
        <v>27</v>
      </c>
      <c r="S132" t="s">
        <v>27</v>
      </c>
      <c r="T132" t="b">
        <f t="shared" si="20"/>
        <v>0</v>
      </c>
      <c r="U132" t="str">
        <f t="shared" si="21"/>
        <v>Employee_0131</v>
      </c>
      <c r="V132" t="str">
        <f t="shared" si="22"/>
        <v>Male</v>
      </c>
      <c r="W132" t="str">
        <f t="shared" si="23"/>
        <v>It</v>
      </c>
      <c r="X132" t="str">
        <f t="shared" si="24"/>
        <v>Bangalore</v>
      </c>
      <c r="Y132" t="str">
        <f t="shared" si="25"/>
        <v>Valid</v>
      </c>
      <c r="Z132" t="str">
        <f t="shared" si="26"/>
        <v>Valid</v>
      </c>
      <c r="AA132" t="str">
        <f t="shared" si="27"/>
        <v>Valid</v>
      </c>
      <c r="AB132" s="9" t="str">
        <f t="shared" si="28"/>
        <v>Valid</v>
      </c>
      <c r="AC132" s="9" t="str">
        <f t="shared" si="29"/>
        <v>Valid</v>
      </c>
      <c r="AD132" s="9" t="str">
        <f>IF(AND(Y132="Valid",Z132="Valid",AA132="Valid",AB132="Valid",COUNTIF($A$2:A132,A132)=1),"Include","Exclude")</f>
        <v>Include</v>
      </c>
    </row>
    <row r="133" spans="1:30" x14ac:dyDescent="0.35">
      <c r="A133" t="s">
        <v>311</v>
      </c>
      <c r="B133" t="s">
        <v>312</v>
      </c>
      <c r="C133" t="s">
        <v>21</v>
      </c>
      <c r="D133">
        <v>26</v>
      </c>
      <c r="E133" t="s">
        <v>55</v>
      </c>
      <c r="F133" t="s">
        <v>43</v>
      </c>
      <c r="G133" t="s">
        <v>24</v>
      </c>
      <c r="H133" t="s">
        <v>131</v>
      </c>
      <c r="I133">
        <v>2</v>
      </c>
      <c r="J133">
        <v>60196</v>
      </c>
      <c r="K133" t="s">
        <v>26</v>
      </c>
      <c r="L133">
        <v>3</v>
      </c>
      <c r="M133">
        <v>31</v>
      </c>
      <c r="N133">
        <v>7</v>
      </c>
      <c r="O133" t="s">
        <v>28</v>
      </c>
      <c r="P133" t="s">
        <v>28</v>
      </c>
      <c r="Q133">
        <v>1</v>
      </c>
      <c r="R133" t="s">
        <v>27</v>
      </c>
      <c r="S133" t="s">
        <v>27</v>
      </c>
      <c r="T133" t="b">
        <f t="shared" si="20"/>
        <v>0</v>
      </c>
      <c r="U133" t="str">
        <f t="shared" si="21"/>
        <v>Employee_0132</v>
      </c>
      <c r="V133" t="str">
        <f t="shared" si="22"/>
        <v>Female</v>
      </c>
      <c r="W133" t="str">
        <f t="shared" si="23"/>
        <v>It</v>
      </c>
      <c r="X133" t="str">
        <f t="shared" si="24"/>
        <v>Pune</v>
      </c>
      <c r="Y133" t="str">
        <f t="shared" si="25"/>
        <v>Valid</v>
      </c>
      <c r="Z133" t="str">
        <f t="shared" si="26"/>
        <v>Valid</v>
      </c>
      <c r="AA133" t="str">
        <f t="shared" si="27"/>
        <v>Valid</v>
      </c>
      <c r="AB133" s="9" t="str">
        <f t="shared" si="28"/>
        <v>Valid</v>
      </c>
      <c r="AC133" s="9" t="str">
        <f t="shared" si="29"/>
        <v>Valid</v>
      </c>
      <c r="AD133" s="9" t="str">
        <f>IF(AND(Y133="Valid",Z133="Valid",AA133="Valid",AB133="Valid",COUNTIF($A$2:A133,A133)=1),"Include","Exclude")</f>
        <v>Include</v>
      </c>
    </row>
    <row r="134" spans="1:30" x14ac:dyDescent="0.35">
      <c r="A134" t="s">
        <v>313</v>
      </c>
      <c r="B134" t="s">
        <v>314</v>
      </c>
      <c r="C134" t="s">
        <v>21</v>
      </c>
      <c r="D134">
        <v>54</v>
      </c>
      <c r="E134" t="s">
        <v>38</v>
      </c>
      <c r="F134" t="s">
        <v>33</v>
      </c>
      <c r="G134" t="s">
        <v>24</v>
      </c>
      <c r="H134" t="s">
        <v>70</v>
      </c>
      <c r="I134">
        <v>17</v>
      </c>
      <c r="J134">
        <v>57035</v>
      </c>
      <c r="K134" t="s">
        <v>35</v>
      </c>
      <c r="L134">
        <v>10</v>
      </c>
      <c r="M134">
        <v>30</v>
      </c>
      <c r="N134">
        <v>4</v>
      </c>
      <c r="O134" t="s">
        <v>28</v>
      </c>
      <c r="P134" t="s">
        <v>28</v>
      </c>
      <c r="Q134">
        <v>5</v>
      </c>
      <c r="R134" t="s">
        <v>27</v>
      </c>
      <c r="S134" t="s">
        <v>28</v>
      </c>
      <c r="T134" t="b">
        <f t="shared" si="20"/>
        <v>0</v>
      </c>
      <c r="U134" t="str">
        <f t="shared" si="21"/>
        <v>Employee_0133</v>
      </c>
      <c r="V134" t="str">
        <f t="shared" si="22"/>
        <v>Female</v>
      </c>
      <c r="W134" t="str">
        <f t="shared" si="23"/>
        <v>Sales</v>
      </c>
      <c r="X134" t="str">
        <f t="shared" si="24"/>
        <v>Bangalore</v>
      </c>
      <c r="Y134" t="str">
        <f t="shared" si="25"/>
        <v>Valid</v>
      </c>
      <c r="Z134" t="str">
        <f t="shared" si="26"/>
        <v>Valid</v>
      </c>
      <c r="AA134" t="str">
        <f t="shared" si="27"/>
        <v>Valid</v>
      </c>
      <c r="AB134" s="9" t="str">
        <f t="shared" si="28"/>
        <v>Valid</v>
      </c>
      <c r="AC134" s="9" t="str">
        <f t="shared" si="29"/>
        <v>Valid</v>
      </c>
      <c r="AD134" s="9" t="str">
        <f>IF(AND(Y134="Valid",Z134="Valid",AA134="Valid",AB134="Valid",COUNTIF($A$2:A134,A134)=1),"Include","Exclude")</f>
        <v>Include</v>
      </c>
    </row>
    <row r="135" spans="1:30" x14ac:dyDescent="0.35">
      <c r="A135" t="s">
        <v>315</v>
      </c>
      <c r="B135" t="s">
        <v>316</v>
      </c>
      <c r="C135" t="s">
        <v>31</v>
      </c>
      <c r="D135">
        <v>48</v>
      </c>
      <c r="E135" t="s">
        <v>32</v>
      </c>
      <c r="F135" t="s">
        <v>39</v>
      </c>
      <c r="G135" t="s">
        <v>69</v>
      </c>
      <c r="H135" t="s">
        <v>52</v>
      </c>
      <c r="I135">
        <v>22</v>
      </c>
      <c r="J135">
        <v>68789</v>
      </c>
      <c r="K135" t="s">
        <v>26</v>
      </c>
      <c r="L135">
        <v>10</v>
      </c>
      <c r="M135">
        <v>12</v>
      </c>
      <c r="N135">
        <v>2</v>
      </c>
      <c r="O135" t="s">
        <v>28</v>
      </c>
      <c r="P135" t="s">
        <v>28</v>
      </c>
      <c r="Q135">
        <v>2</v>
      </c>
      <c r="R135" t="s">
        <v>28</v>
      </c>
      <c r="S135" t="s">
        <v>27</v>
      </c>
      <c r="T135" t="b">
        <f t="shared" si="20"/>
        <v>0</v>
      </c>
      <c r="U135" t="str">
        <f t="shared" si="21"/>
        <v>Employee_0134</v>
      </c>
      <c r="V135" t="str">
        <f t="shared" si="22"/>
        <v>Male</v>
      </c>
      <c r="W135" t="str">
        <f t="shared" si="23"/>
        <v>Operations</v>
      </c>
      <c r="X135" t="str">
        <f t="shared" si="24"/>
        <v>Mumbai</v>
      </c>
      <c r="Y135" t="str">
        <f t="shared" si="25"/>
        <v>Valid</v>
      </c>
      <c r="Z135" t="str">
        <f t="shared" si="26"/>
        <v>Valid</v>
      </c>
      <c r="AA135" t="str">
        <f t="shared" si="27"/>
        <v>Valid</v>
      </c>
      <c r="AB135" s="9" t="str">
        <f t="shared" si="28"/>
        <v>Valid</v>
      </c>
      <c r="AC135" s="9" t="str">
        <f t="shared" si="29"/>
        <v>Valid</v>
      </c>
      <c r="AD135" s="9" t="str">
        <f>IF(AND(Y135="Valid",Z135="Valid",AA135="Valid",AB135="Valid",COUNTIF($A$2:A135,A135)=1),"Include","Exclude")</f>
        <v>Include</v>
      </c>
    </row>
    <row r="136" spans="1:30" x14ac:dyDescent="0.35">
      <c r="A136" t="s">
        <v>317</v>
      </c>
      <c r="B136" t="s">
        <v>318</v>
      </c>
      <c r="C136" t="s">
        <v>31</v>
      </c>
      <c r="D136">
        <v>35</v>
      </c>
      <c r="E136" t="s">
        <v>55</v>
      </c>
      <c r="F136" t="s">
        <v>48</v>
      </c>
      <c r="G136" t="s">
        <v>24</v>
      </c>
      <c r="H136" t="s">
        <v>49</v>
      </c>
      <c r="I136">
        <v>11</v>
      </c>
      <c r="J136">
        <v>52727</v>
      </c>
      <c r="K136" t="s">
        <v>45</v>
      </c>
      <c r="L136">
        <v>8</v>
      </c>
      <c r="M136">
        <v>42</v>
      </c>
      <c r="N136">
        <v>1</v>
      </c>
      <c r="O136" t="s">
        <v>27</v>
      </c>
      <c r="P136" t="s">
        <v>27</v>
      </c>
      <c r="Q136">
        <v>1</v>
      </c>
      <c r="R136" t="s">
        <v>27</v>
      </c>
      <c r="S136" t="s">
        <v>27</v>
      </c>
      <c r="T136" t="b">
        <f t="shared" si="20"/>
        <v>0</v>
      </c>
      <c r="U136" t="str">
        <f t="shared" si="21"/>
        <v>Employee_0135</v>
      </c>
      <c r="V136" t="str">
        <f t="shared" si="22"/>
        <v>Male</v>
      </c>
      <c r="W136" t="str">
        <f t="shared" si="23"/>
        <v>Customer Support</v>
      </c>
      <c r="X136" t="str">
        <f t="shared" si="24"/>
        <v>Delhi</v>
      </c>
      <c r="Y136" t="str">
        <f t="shared" si="25"/>
        <v>Valid</v>
      </c>
      <c r="Z136" t="str">
        <f t="shared" si="26"/>
        <v>Valid</v>
      </c>
      <c r="AA136" t="str">
        <f t="shared" si="27"/>
        <v>Valid</v>
      </c>
      <c r="AB136" s="9" t="str">
        <f t="shared" si="28"/>
        <v>Valid</v>
      </c>
      <c r="AC136" s="9" t="str">
        <f t="shared" si="29"/>
        <v>Valid</v>
      </c>
      <c r="AD136" s="9" t="str">
        <f>IF(AND(Y136="Valid",Z136="Valid",AA136="Valid",AB136="Valid",COUNTIF($A$2:A136,A136)=1),"Include","Exclude")</f>
        <v>Include</v>
      </c>
    </row>
    <row r="137" spans="1:30" x14ac:dyDescent="0.35">
      <c r="A137" t="s">
        <v>319</v>
      </c>
      <c r="B137" t="s">
        <v>320</v>
      </c>
      <c r="C137" t="s">
        <v>31</v>
      </c>
      <c r="D137">
        <v>40</v>
      </c>
      <c r="E137" t="s">
        <v>32</v>
      </c>
      <c r="F137" t="s">
        <v>43</v>
      </c>
      <c r="G137" t="s">
        <v>69</v>
      </c>
      <c r="H137" t="s">
        <v>34</v>
      </c>
      <c r="I137">
        <v>12</v>
      </c>
      <c r="J137">
        <v>82000</v>
      </c>
      <c r="K137" t="s">
        <v>35</v>
      </c>
      <c r="L137">
        <v>3</v>
      </c>
      <c r="M137">
        <v>36</v>
      </c>
      <c r="N137">
        <v>3</v>
      </c>
      <c r="O137" t="s">
        <v>27</v>
      </c>
      <c r="P137" t="s">
        <v>27</v>
      </c>
      <c r="Q137">
        <v>3</v>
      </c>
      <c r="R137" t="s">
        <v>28</v>
      </c>
      <c r="S137" t="s">
        <v>27</v>
      </c>
      <c r="T137" t="b">
        <f t="shared" si="20"/>
        <v>0</v>
      </c>
      <c r="U137" t="str">
        <f t="shared" si="21"/>
        <v>Employee_0136</v>
      </c>
      <c r="V137" t="str">
        <f t="shared" si="22"/>
        <v>Male</v>
      </c>
      <c r="W137" t="str">
        <f t="shared" si="23"/>
        <v>It</v>
      </c>
      <c r="X137" t="str">
        <f t="shared" si="24"/>
        <v>Gurgaon</v>
      </c>
      <c r="Y137" t="str">
        <f t="shared" si="25"/>
        <v>Valid</v>
      </c>
      <c r="Z137" t="str">
        <f t="shared" si="26"/>
        <v>Valid</v>
      </c>
      <c r="AA137" t="str">
        <f t="shared" si="27"/>
        <v>Valid</v>
      </c>
      <c r="AB137" s="9" t="str">
        <f t="shared" si="28"/>
        <v>Valid</v>
      </c>
      <c r="AC137" s="9" t="str">
        <f t="shared" si="29"/>
        <v>Valid</v>
      </c>
      <c r="AD137" s="9" t="str">
        <f>IF(AND(Y137="Valid",Z137="Valid",AA137="Valid",AB137="Valid",COUNTIF($A$2:A137,A137)=1),"Include","Exclude")</f>
        <v>Include</v>
      </c>
    </row>
    <row r="138" spans="1:30" x14ac:dyDescent="0.35">
      <c r="A138" t="s">
        <v>321</v>
      </c>
      <c r="B138" t="s">
        <v>322</v>
      </c>
      <c r="C138" t="s">
        <v>21</v>
      </c>
      <c r="D138">
        <v>23</v>
      </c>
      <c r="E138" t="s">
        <v>38</v>
      </c>
      <c r="F138" t="s">
        <v>43</v>
      </c>
      <c r="G138" t="s">
        <v>24</v>
      </c>
      <c r="H138" t="s">
        <v>25</v>
      </c>
      <c r="I138">
        <v>1</v>
      </c>
      <c r="J138">
        <v>67393</v>
      </c>
      <c r="K138" t="s">
        <v>45</v>
      </c>
      <c r="L138">
        <v>10</v>
      </c>
      <c r="M138">
        <v>56</v>
      </c>
      <c r="N138">
        <v>3</v>
      </c>
      <c r="O138" t="s">
        <v>27</v>
      </c>
      <c r="P138" t="s">
        <v>28</v>
      </c>
      <c r="Q138">
        <v>3</v>
      </c>
      <c r="R138" t="s">
        <v>27</v>
      </c>
      <c r="S138" t="s">
        <v>27</v>
      </c>
      <c r="T138" t="b">
        <f t="shared" si="20"/>
        <v>0</v>
      </c>
      <c r="U138" t="str">
        <f t="shared" si="21"/>
        <v>Employee_0137</v>
      </c>
      <c r="V138" t="str">
        <f t="shared" si="22"/>
        <v>Female</v>
      </c>
      <c r="W138" t="str">
        <f t="shared" si="23"/>
        <v>It</v>
      </c>
      <c r="X138" t="str">
        <f t="shared" si="24"/>
        <v>Hyderabad</v>
      </c>
      <c r="Y138" t="str">
        <f t="shared" si="25"/>
        <v>Valid</v>
      </c>
      <c r="Z138" t="str">
        <f t="shared" si="26"/>
        <v>Valid</v>
      </c>
      <c r="AA138" t="str">
        <f t="shared" si="27"/>
        <v>Valid</v>
      </c>
      <c r="AB138" s="9" t="str">
        <f t="shared" si="28"/>
        <v>Valid</v>
      </c>
      <c r="AC138" s="9" t="str">
        <f t="shared" si="29"/>
        <v>Valid</v>
      </c>
      <c r="AD138" s="9" t="str">
        <f>IF(AND(Y138="Valid",Z138="Valid",AA138="Valid",AB138="Valid",COUNTIF($A$2:A138,A138)=1),"Include","Exclude")</f>
        <v>Include</v>
      </c>
    </row>
    <row r="139" spans="1:30" x14ac:dyDescent="0.35">
      <c r="A139" t="s">
        <v>323</v>
      </c>
      <c r="B139" t="s">
        <v>324</v>
      </c>
      <c r="C139" t="s">
        <v>21</v>
      </c>
      <c r="D139">
        <v>45</v>
      </c>
      <c r="E139" t="s">
        <v>55</v>
      </c>
      <c r="F139" t="s">
        <v>60</v>
      </c>
      <c r="G139" t="s">
        <v>44</v>
      </c>
      <c r="H139" t="s">
        <v>70</v>
      </c>
      <c r="I139">
        <v>19</v>
      </c>
      <c r="J139">
        <v>67283</v>
      </c>
      <c r="K139" t="s">
        <v>45</v>
      </c>
      <c r="L139">
        <v>8</v>
      </c>
      <c r="M139">
        <v>23</v>
      </c>
      <c r="N139">
        <v>4</v>
      </c>
      <c r="O139" t="s">
        <v>27</v>
      </c>
      <c r="P139" t="s">
        <v>28</v>
      </c>
      <c r="Q139">
        <v>4</v>
      </c>
      <c r="R139" t="s">
        <v>27</v>
      </c>
      <c r="S139" t="s">
        <v>27</v>
      </c>
      <c r="T139" t="b">
        <f t="shared" si="20"/>
        <v>0</v>
      </c>
      <c r="U139" t="str">
        <f t="shared" si="21"/>
        <v>Employee_0138</v>
      </c>
      <c r="V139" t="str">
        <f t="shared" si="22"/>
        <v>Female</v>
      </c>
      <c r="W139" t="str">
        <f t="shared" si="23"/>
        <v>Hr</v>
      </c>
      <c r="X139" t="str">
        <f t="shared" si="24"/>
        <v>Bangalore</v>
      </c>
      <c r="Y139" t="str">
        <f t="shared" si="25"/>
        <v>Valid</v>
      </c>
      <c r="Z139" t="str">
        <f t="shared" si="26"/>
        <v>Valid</v>
      </c>
      <c r="AA139" t="str">
        <f t="shared" si="27"/>
        <v>Valid</v>
      </c>
      <c r="AB139" s="9" t="str">
        <f t="shared" si="28"/>
        <v>Valid</v>
      </c>
      <c r="AC139" s="9" t="str">
        <f t="shared" si="29"/>
        <v>Valid</v>
      </c>
      <c r="AD139" s="9" t="str">
        <f>IF(AND(Y139="Valid",Z139="Valid",AA139="Valid",AB139="Valid",COUNTIF($A$2:A139,A139)=1),"Include","Exclude")</f>
        <v>Include</v>
      </c>
    </row>
    <row r="140" spans="1:30" x14ac:dyDescent="0.35">
      <c r="A140" t="s">
        <v>325</v>
      </c>
      <c r="B140" t="s">
        <v>326</v>
      </c>
      <c r="C140" t="s">
        <v>31</v>
      </c>
      <c r="D140">
        <v>41</v>
      </c>
      <c r="E140" t="s">
        <v>55</v>
      </c>
      <c r="F140" t="s">
        <v>64</v>
      </c>
      <c r="G140" t="s">
        <v>44</v>
      </c>
      <c r="H140" t="s">
        <v>131</v>
      </c>
      <c r="I140">
        <v>15</v>
      </c>
      <c r="J140">
        <v>70749</v>
      </c>
      <c r="K140" t="s">
        <v>45</v>
      </c>
      <c r="L140">
        <v>2</v>
      </c>
      <c r="M140">
        <v>37</v>
      </c>
      <c r="N140">
        <v>6</v>
      </c>
      <c r="O140" t="s">
        <v>27</v>
      </c>
      <c r="P140" t="s">
        <v>27</v>
      </c>
      <c r="Q140">
        <v>1</v>
      </c>
      <c r="R140" t="s">
        <v>28</v>
      </c>
      <c r="S140" t="s">
        <v>27</v>
      </c>
      <c r="T140" t="b">
        <f t="shared" si="20"/>
        <v>0</v>
      </c>
      <c r="U140" t="str">
        <f t="shared" si="21"/>
        <v>Employee_0139</v>
      </c>
      <c r="V140" t="str">
        <f t="shared" si="22"/>
        <v>Male</v>
      </c>
      <c r="W140" t="str">
        <f t="shared" si="23"/>
        <v>Marketing</v>
      </c>
      <c r="X140" t="str">
        <f t="shared" si="24"/>
        <v>Pune</v>
      </c>
      <c r="Y140" t="str">
        <f t="shared" si="25"/>
        <v>Valid</v>
      </c>
      <c r="Z140" t="str">
        <f t="shared" si="26"/>
        <v>Valid</v>
      </c>
      <c r="AA140" t="str">
        <f t="shared" si="27"/>
        <v>Valid</v>
      </c>
      <c r="AB140" s="9" t="str">
        <f t="shared" si="28"/>
        <v>Valid</v>
      </c>
      <c r="AC140" s="9" t="str">
        <f t="shared" si="29"/>
        <v>Valid</v>
      </c>
      <c r="AD140" s="9" t="str">
        <f>IF(AND(Y140="Valid",Z140="Valid",AA140="Valid",AB140="Valid",COUNTIF($A$2:A140,A140)=1),"Include","Exclude")</f>
        <v>Include</v>
      </c>
    </row>
    <row r="141" spans="1:30" x14ac:dyDescent="0.35">
      <c r="A141" t="s">
        <v>327</v>
      </c>
      <c r="B141" t="s">
        <v>328</v>
      </c>
      <c r="C141" t="s">
        <v>21</v>
      </c>
      <c r="D141">
        <v>27</v>
      </c>
      <c r="E141" t="s">
        <v>38</v>
      </c>
      <c r="F141" t="s">
        <v>48</v>
      </c>
      <c r="G141" t="s">
        <v>24</v>
      </c>
      <c r="H141" t="s">
        <v>52</v>
      </c>
      <c r="I141">
        <v>5</v>
      </c>
      <c r="J141">
        <v>45578</v>
      </c>
      <c r="K141" t="s">
        <v>45</v>
      </c>
      <c r="L141">
        <v>4</v>
      </c>
      <c r="M141">
        <v>9</v>
      </c>
      <c r="N141">
        <v>7</v>
      </c>
      <c r="O141" t="s">
        <v>28</v>
      </c>
      <c r="P141" t="s">
        <v>28</v>
      </c>
      <c r="Q141">
        <v>1</v>
      </c>
      <c r="R141" t="s">
        <v>27</v>
      </c>
      <c r="S141" t="s">
        <v>27</v>
      </c>
      <c r="T141" t="b">
        <f t="shared" si="20"/>
        <v>0</v>
      </c>
      <c r="U141" t="str">
        <f t="shared" si="21"/>
        <v>Employee_0140</v>
      </c>
      <c r="V141" t="str">
        <f t="shared" si="22"/>
        <v>Female</v>
      </c>
      <c r="W141" t="str">
        <f t="shared" si="23"/>
        <v>Customer Support</v>
      </c>
      <c r="X141" t="str">
        <f t="shared" si="24"/>
        <v>Mumbai</v>
      </c>
      <c r="Y141" t="str">
        <f t="shared" si="25"/>
        <v>Valid</v>
      </c>
      <c r="Z141" t="str">
        <f t="shared" si="26"/>
        <v>Valid</v>
      </c>
      <c r="AA141" t="str">
        <f t="shared" si="27"/>
        <v>Valid</v>
      </c>
      <c r="AB141" s="9" t="str">
        <f t="shared" si="28"/>
        <v>Valid</v>
      </c>
      <c r="AC141" s="9" t="str">
        <f t="shared" si="29"/>
        <v>Valid</v>
      </c>
      <c r="AD141" s="9" t="str">
        <f>IF(AND(Y141="Valid",Z141="Valid",AA141="Valid",AB141="Valid",COUNTIF($A$2:A141,A141)=1),"Include","Exclude")</f>
        <v>Include</v>
      </c>
    </row>
    <row r="142" spans="1:30" x14ac:dyDescent="0.35">
      <c r="A142" t="s">
        <v>329</v>
      </c>
      <c r="B142" t="s">
        <v>330</v>
      </c>
      <c r="C142" t="s">
        <v>31</v>
      </c>
      <c r="D142">
        <v>39</v>
      </c>
      <c r="E142" t="s">
        <v>55</v>
      </c>
      <c r="F142" t="s">
        <v>39</v>
      </c>
      <c r="G142" t="s">
        <v>24</v>
      </c>
      <c r="H142" t="s">
        <v>49</v>
      </c>
      <c r="I142">
        <v>8</v>
      </c>
      <c r="J142">
        <v>53072</v>
      </c>
      <c r="K142" t="s">
        <v>26</v>
      </c>
      <c r="L142">
        <v>3</v>
      </c>
      <c r="M142">
        <v>43</v>
      </c>
      <c r="N142">
        <v>5</v>
      </c>
      <c r="O142" t="s">
        <v>27</v>
      </c>
      <c r="P142" t="s">
        <v>27</v>
      </c>
      <c r="Q142">
        <v>2</v>
      </c>
      <c r="R142" t="s">
        <v>28</v>
      </c>
      <c r="S142" t="s">
        <v>27</v>
      </c>
      <c r="T142" t="b">
        <f t="shared" si="20"/>
        <v>0</v>
      </c>
      <c r="U142" t="str">
        <f t="shared" si="21"/>
        <v>Employee_0141</v>
      </c>
      <c r="V142" t="str">
        <f t="shared" si="22"/>
        <v>Male</v>
      </c>
      <c r="W142" t="str">
        <f t="shared" si="23"/>
        <v>Operations</v>
      </c>
      <c r="X142" t="str">
        <f t="shared" si="24"/>
        <v>Delhi</v>
      </c>
      <c r="Y142" t="str">
        <f t="shared" si="25"/>
        <v>Valid</v>
      </c>
      <c r="Z142" t="str">
        <f t="shared" si="26"/>
        <v>Valid</v>
      </c>
      <c r="AA142" t="str">
        <f t="shared" si="27"/>
        <v>Valid</v>
      </c>
      <c r="AB142" s="9" t="str">
        <f t="shared" si="28"/>
        <v>Valid</v>
      </c>
      <c r="AC142" s="9" t="str">
        <f t="shared" si="29"/>
        <v>Valid</v>
      </c>
      <c r="AD142" s="9" t="str">
        <f>IF(AND(Y142="Valid",Z142="Valid",AA142="Valid",AB142="Valid",COUNTIF($A$2:A142,A142)=1),"Include","Exclude")</f>
        <v>Include</v>
      </c>
    </row>
    <row r="143" spans="1:30" x14ac:dyDescent="0.35">
      <c r="A143" t="s">
        <v>331</v>
      </c>
      <c r="B143" t="s">
        <v>332</v>
      </c>
      <c r="C143" t="s">
        <v>21</v>
      </c>
      <c r="D143">
        <v>27</v>
      </c>
      <c r="E143" t="s">
        <v>55</v>
      </c>
      <c r="F143" t="s">
        <v>48</v>
      </c>
      <c r="G143" t="s">
        <v>24</v>
      </c>
      <c r="H143" t="s">
        <v>131</v>
      </c>
      <c r="I143">
        <v>3</v>
      </c>
      <c r="J143">
        <v>46276</v>
      </c>
      <c r="K143" t="s">
        <v>35</v>
      </c>
      <c r="L143">
        <v>6</v>
      </c>
      <c r="M143">
        <v>24</v>
      </c>
      <c r="N143">
        <v>3</v>
      </c>
      <c r="O143" t="s">
        <v>27</v>
      </c>
      <c r="P143" t="s">
        <v>28</v>
      </c>
      <c r="Q143">
        <v>4</v>
      </c>
      <c r="R143" t="s">
        <v>28</v>
      </c>
      <c r="S143" t="s">
        <v>27</v>
      </c>
      <c r="T143" t="b">
        <f t="shared" si="20"/>
        <v>0</v>
      </c>
      <c r="U143" t="str">
        <f t="shared" si="21"/>
        <v>Employee_0142</v>
      </c>
      <c r="V143" t="str">
        <f t="shared" si="22"/>
        <v>Female</v>
      </c>
      <c r="W143" t="str">
        <f t="shared" si="23"/>
        <v>Customer Support</v>
      </c>
      <c r="X143" t="str">
        <f t="shared" si="24"/>
        <v>Pune</v>
      </c>
      <c r="Y143" t="str">
        <f t="shared" si="25"/>
        <v>Valid</v>
      </c>
      <c r="Z143" t="str">
        <f t="shared" si="26"/>
        <v>Valid</v>
      </c>
      <c r="AA143" t="str">
        <f t="shared" si="27"/>
        <v>Valid</v>
      </c>
      <c r="AB143" s="9" t="str">
        <f t="shared" si="28"/>
        <v>Valid</v>
      </c>
      <c r="AC143" s="9" t="str">
        <f t="shared" si="29"/>
        <v>Valid</v>
      </c>
      <c r="AD143" s="9" t="str">
        <f>IF(AND(Y143="Valid",Z143="Valid",AA143="Valid",AB143="Valid",COUNTIF($A$2:A143,A143)=1),"Include","Exclude")</f>
        <v>Include</v>
      </c>
    </row>
    <row r="144" spans="1:30" x14ac:dyDescent="0.35">
      <c r="A144" t="s">
        <v>333</v>
      </c>
      <c r="B144" t="s">
        <v>334</v>
      </c>
      <c r="C144" t="s">
        <v>31</v>
      </c>
      <c r="D144">
        <v>52</v>
      </c>
      <c r="E144" t="s">
        <v>55</v>
      </c>
      <c r="F144" t="s">
        <v>43</v>
      </c>
      <c r="G144" t="s">
        <v>24</v>
      </c>
      <c r="H144" t="s">
        <v>52</v>
      </c>
      <c r="I144">
        <v>11</v>
      </c>
      <c r="J144">
        <v>79670</v>
      </c>
      <c r="K144" t="s">
        <v>45</v>
      </c>
      <c r="L144">
        <v>2</v>
      </c>
      <c r="M144">
        <v>35</v>
      </c>
      <c r="N144">
        <v>1</v>
      </c>
      <c r="O144" t="s">
        <v>28</v>
      </c>
      <c r="P144" t="s">
        <v>27</v>
      </c>
      <c r="Q144">
        <v>3</v>
      </c>
      <c r="R144" t="s">
        <v>27</v>
      </c>
      <c r="S144" t="s">
        <v>28</v>
      </c>
      <c r="T144" t="b">
        <f t="shared" si="20"/>
        <v>0</v>
      </c>
      <c r="U144" t="str">
        <f t="shared" si="21"/>
        <v>Employee_0143</v>
      </c>
      <c r="V144" t="str">
        <f t="shared" si="22"/>
        <v>Male</v>
      </c>
      <c r="W144" t="str">
        <f t="shared" si="23"/>
        <v>It</v>
      </c>
      <c r="X144" t="str">
        <f t="shared" si="24"/>
        <v>Mumbai</v>
      </c>
      <c r="Y144" t="str">
        <f t="shared" si="25"/>
        <v>Valid</v>
      </c>
      <c r="Z144" t="str">
        <f t="shared" si="26"/>
        <v>Valid</v>
      </c>
      <c r="AA144" t="str">
        <f t="shared" si="27"/>
        <v>Valid</v>
      </c>
      <c r="AB144" s="9" t="str">
        <f t="shared" si="28"/>
        <v>Valid</v>
      </c>
      <c r="AC144" s="9" t="str">
        <f t="shared" si="29"/>
        <v>Valid</v>
      </c>
      <c r="AD144" s="9" t="str">
        <f>IF(AND(Y144="Valid",Z144="Valid",AA144="Valid",AB144="Valid",COUNTIF($A$2:A144,A144)=1),"Include","Exclude")</f>
        <v>Include</v>
      </c>
    </row>
    <row r="145" spans="1:30" x14ac:dyDescent="0.35">
      <c r="A145" t="s">
        <v>335</v>
      </c>
      <c r="B145" t="s">
        <v>336</v>
      </c>
      <c r="C145" t="s">
        <v>31</v>
      </c>
      <c r="D145">
        <v>47</v>
      </c>
      <c r="E145" t="s">
        <v>38</v>
      </c>
      <c r="F145" t="s">
        <v>48</v>
      </c>
      <c r="G145" t="s">
        <v>24</v>
      </c>
      <c r="H145" t="s">
        <v>25</v>
      </c>
      <c r="I145">
        <v>18</v>
      </c>
      <c r="J145">
        <v>58780</v>
      </c>
      <c r="K145" t="s">
        <v>35</v>
      </c>
      <c r="L145">
        <v>7</v>
      </c>
      <c r="M145">
        <v>17</v>
      </c>
      <c r="N145">
        <v>4</v>
      </c>
      <c r="O145" t="s">
        <v>27</v>
      </c>
      <c r="P145" t="s">
        <v>27</v>
      </c>
      <c r="Q145">
        <v>3</v>
      </c>
      <c r="R145" t="s">
        <v>27</v>
      </c>
      <c r="S145" t="s">
        <v>27</v>
      </c>
      <c r="T145" t="b">
        <f t="shared" si="20"/>
        <v>0</v>
      </c>
      <c r="U145" t="str">
        <f t="shared" si="21"/>
        <v>Employee_0144</v>
      </c>
      <c r="V145" t="str">
        <f t="shared" si="22"/>
        <v>Male</v>
      </c>
      <c r="W145" t="str">
        <f t="shared" si="23"/>
        <v>Customer Support</v>
      </c>
      <c r="X145" t="str">
        <f t="shared" si="24"/>
        <v>Hyderabad</v>
      </c>
      <c r="Y145" t="str">
        <f t="shared" si="25"/>
        <v>Valid</v>
      </c>
      <c r="Z145" t="str">
        <f t="shared" si="26"/>
        <v>Valid</v>
      </c>
      <c r="AA145" t="str">
        <f t="shared" si="27"/>
        <v>Valid</v>
      </c>
      <c r="AB145" s="9" t="str">
        <f t="shared" si="28"/>
        <v>Valid</v>
      </c>
      <c r="AC145" s="9" t="str">
        <f t="shared" si="29"/>
        <v>Valid</v>
      </c>
      <c r="AD145" s="9" t="str">
        <f>IF(AND(Y145="Valid",Z145="Valid",AA145="Valid",AB145="Valid",COUNTIF($A$2:A145,A145)=1),"Include","Exclude")</f>
        <v>Include</v>
      </c>
    </row>
    <row r="146" spans="1:30" x14ac:dyDescent="0.35">
      <c r="A146" t="s">
        <v>337</v>
      </c>
      <c r="B146" t="s">
        <v>338</v>
      </c>
      <c r="C146" t="s">
        <v>21</v>
      </c>
      <c r="D146">
        <v>25</v>
      </c>
      <c r="E146" t="s">
        <v>32</v>
      </c>
      <c r="F146" t="s">
        <v>64</v>
      </c>
      <c r="G146" t="s">
        <v>24</v>
      </c>
      <c r="H146" t="s">
        <v>61</v>
      </c>
      <c r="I146">
        <v>2</v>
      </c>
      <c r="J146">
        <v>44471</v>
      </c>
      <c r="K146" t="s">
        <v>26</v>
      </c>
      <c r="L146">
        <v>8</v>
      </c>
      <c r="M146">
        <v>24</v>
      </c>
      <c r="N146">
        <v>7</v>
      </c>
      <c r="O146" t="s">
        <v>27</v>
      </c>
      <c r="P146" t="s">
        <v>28</v>
      </c>
      <c r="Q146">
        <v>5</v>
      </c>
      <c r="R146" t="s">
        <v>27</v>
      </c>
      <c r="S146" t="s">
        <v>27</v>
      </c>
      <c r="T146" t="b">
        <f t="shared" si="20"/>
        <v>0</v>
      </c>
      <c r="U146" t="str">
        <f t="shared" si="21"/>
        <v>Employee_0145</v>
      </c>
      <c r="V146" t="str">
        <f t="shared" si="22"/>
        <v>Female</v>
      </c>
      <c r="W146" t="str">
        <f t="shared" si="23"/>
        <v>Marketing</v>
      </c>
      <c r="X146" t="str">
        <f t="shared" si="24"/>
        <v>Noida</v>
      </c>
      <c r="Y146" t="str">
        <f t="shared" si="25"/>
        <v>Valid</v>
      </c>
      <c r="Z146" t="str">
        <f t="shared" si="26"/>
        <v>Valid</v>
      </c>
      <c r="AA146" t="str">
        <f t="shared" si="27"/>
        <v>Valid</v>
      </c>
      <c r="AB146" s="9" t="str">
        <f t="shared" si="28"/>
        <v>Valid</v>
      </c>
      <c r="AC146" s="9" t="str">
        <f t="shared" si="29"/>
        <v>Valid</v>
      </c>
      <c r="AD146" s="9" t="str">
        <f>IF(AND(Y146="Valid",Z146="Valid",AA146="Valid",AB146="Valid",COUNTIF($A$2:A146,A146)=1),"Include","Exclude")</f>
        <v>Include</v>
      </c>
    </row>
    <row r="147" spans="1:30" x14ac:dyDescent="0.35">
      <c r="A147" t="s">
        <v>339</v>
      </c>
      <c r="B147" t="s">
        <v>340</v>
      </c>
      <c r="C147" t="s">
        <v>31</v>
      </c>
      <c r="D147">
        <v>31</v>
      </c>
      <c r="E147" t="s">
        <v>55</v>
      </c>
      <c r="F147" t="s">
        <v>43</v>
      </c>
      <c r="G147" t="s">
        <v>24</v>
      </c>
      <c r="H147" t="s">
        <v>131</v>
      </c>
      <c r="I147">
        <v>4</v>
      </c>
      <c r="J147">
        <v>71643</v>
      </c>
      <c r="K147" t="s">
        <v>35</v>
      </c>
      <c r="L147">
        <v>3</v>
      </c>
      <c r="M147">
        <v>45</v>
      </c>
      <c r="N147">
        <v>4</v>
      </c>
      <c r="O147" t="s">
        <v>28</v>
      </c>
      <c r="P147" t="s">
        <v>27</v>
      </c>
      <c r="Q147">
        <v>5</v>
      </c>
      <c r="R147" t="s">
        <v>28</v>
      </c>
      <c r="S147" t="s">
        <v>27</v>
      </c>
      <c r="T147" t="b">
        <f t="shared" si="20"/>
        <v>0</v>
      </c>
      <c r="U147" t="str">
        <f t="shared" si="21"/>
        <v>Employee_0146</v>
      </c>
      <c r="V147" t="str">
        <f t="shared" si="22"/>
        <v>Male</v>
      </c>
      <c r="W147" t="str">
        <f t="shared" si="23"/>
        <v>It</v>
      </c>
      <c r="X147" t="str">
        <f t="shared" si="24"/>
        <v>Pune</v>
      </c>
      <c r="Y147" t="str">
        <f t="shared" si="25"/>
        <v>Valid</v>
      </c>
      <c r="Z147" t="str">
        <f t="shared" si="26"/>
        <v>Valid</v>
      </c>
      <c r="AA147" t="str">
        <f t="shared" si="27"/>
        <v>Valid</v>
      </c>
      <c r="AB147" s="9" t="str">
        <f t="shared" si="28"/>
        <v>Valid</v>
      </c>
      <c r="AC147" s="9" t="str">
        <f t="shared" si="29"/>
        <v>Valid</v>
      </c>
      <c r="AD147" s="9" t="str">
        <f>IF(AND(Y147="Valid",Z147="Valid",AA147="Valid",AB147="Valid",COUNTIF($A$2:A147,A147)=1),"Include","Exclude")</f>
        <v>Include</v>
      </c>
    </row>
    <row r="148" spans="1:30" x14ac:dyDescent="0.35">
      <c r="A148" t="s">
        <v>341</v>
      </c>
      <c r="B148" t="s">
        <v>342</v>
      </c>
      <c r="C148" t="s">
        <v>31</v>
      </c>
      <c r="D148">
        <v>23</v>
      </c>
      <c r="E148" t="s">
        <v>55</v>
      </c>
      <c r="F148" t="s">
        <v>48</v>
      </c>
      <c r="G148" t="s">
        <v>24</v>
      </c>
      <c r="H148" t="s">
        <v>52</v>
      </c>
      <c r="I148">
        <v>1</v>
      </c>
      <c r="J148">
        <v>51677</v>
      </c>
      <c r="K148" t="s">
        <v>45</v>
      </c>
      <c r="L148">
        <v>2</v>
      </c>
      <c r="M148">
        <v>39</v>
      </c>
      <c r="N148">
        <v>3</v>
      </c>
      <c r="O148" t="s">
        <v>27</v>
      </c>
      <c r="P148" t="s">
        <v>27</v>
      </c>
      <c r="Q148">
        <v>5</v>
      </c>
      <c r="R148" t="s">
        <v>27</v>
      </c>
      <c r="S148" t="s">
        <v>27</v>
      </c>
      <c r="T148" t="b">
        <f t="shared" si="20"/>
        <v>0</v>
      </c>
      <c r="U148" t="str">
        <f t="shared" si="21"/>
        <v>Employee_0147</v>
      </c>
      <c r="V148" t="str">
        <f t="shared" si="22"/>
        <v>Male</v>
      </c>
      <c r="W148" t="str">
        <f t="shared" si="23"/>
        <v>Customer Support</v>
      </c>
      <c r="X148" t="str">
        <f t="shared" si="24"/>
        <v>Mumbai</v>
      </c>
      <c r="Y148" t="str">
        <f t="shared" si="25"/>
        <v>Valid</v>
      </c>
      <c r="Z148" t="str">
        <f t="shared" si="26"/>
        <v>Valid</v>
      </c>
      <c r="AA148" t="str">
        <f t="shared" si="27"/>
        <v>Valid</v>
      </c>
      <c r="AB148" s="9" t="str">
        <f t="shared" si="28"/>
        <v>Valid</v>
      </c>
      <c r="AC148" s="9" t="str">
        <f t="shared" si="29"/>
        <v>Valid</v>
      </c>
      <c r="AD148" s="9" t="str">
        <f>IF(AND(Y148="Valid",Z148="Valid",AA148="Valid",AB148="Valid",COUNTIF($A$2:A148,A148)=1),"Include","Exclude")</f>
        <v>Include</v>
      </c>
    </row>
    <row r="149" spans="1:30" x14ac:dyDescent="0.35">
      <c r="A149" t="s">
        <v>343</v>
      </c>
      <c r="B149" t="s">
        <v>344</v>
      </c>
      <c r="C149" t="s">
        <v>21</v>
      </c>
      <c r="D149">
        <v>54</v>
      </c>
      <c r="E149" t="s">
        <v>55</v>
      </c>
      <c r="F149" t="s">
        <v>23</v>
      </c>
      <c r="G149" t="s">
        <v>24</v>
      </c>
      <c r="H149" t="s">
        <v>131</v>
      </c>
      <c r="I149">
        <v>24</v>
      </c>
      <c r="J149">
        <v>82000</v>
      </c>
      <c r="K149" t="s">
        <v>45</v>
      </c>
      <c r="L149">
        <v>3</v>
      </c>
      <c r="M149">
        <v>29</v>
      </c>
      <c r="N149">
        <v>2</v>
      </c>
      <c r="O149" t="s">
        <v>27</v>
      </c>
      <c r="P149" t="s">
        <v>27</v>
      </c>
      <c r="Q149">
        <v>3</v>
      </c>
      <c r="R149" t="s">
        <v>27</v>
      </c>
      <c r="S149" t="s">
        <v>27</v>
      </c>
      <c r="T149" t="b">
        <f t="shared" si="20"/>
        <v>0</v>
      </c>
      <c r="U149" t="str">
        <f t="shared" si="21"/>
        <v>Employee_0148</v>
      </c>
      <c r="V149" t="str">
        <f t="shared" si="22"/>
        <v>Female</v>
      </c>
      <c r="W149" t="str">
        <f t="shared" si="23"/>
        <v>Finance</v>
      </c>
      <c r="X149" t="str">
        <f t="shared" si="24"/>
        <v>Pune</v>
      </c>
      <c r="Y149" t="str">
        <f t="shared" si="25"/>
        <v>Valid</v>
      </c>
      <c r="Z149" t="str">
        <f t="shared" si="26"/>
        <v>Valid</v>
      </c>
      <c r="AA149" t="str">
        <f t="shared" si="27"/>
        <v>Valid</v>
      </c>
      <c r="AB149" s="9" t="str">
        <f t="shared" si="28"/>
        <v>Valid</v>
      </c>
      <c r="AC149" s="9" t="str">
        <f t="shared" si="29"/>
        <v>Valid</v>
      </c>
      <c r="AD149" s="9" t="str">
        <f>IF(AND(Y149="Valid",Z149="Valid",AA149="Valid",AB149="Valid",COUNTIF($A$2:A149,A149)=1),"Include","Exclude")</f>
        <v>Include</v>
      </c>
    </row>
    <row r="150" spans="1:30" x14ac:dyDescent="0.35">
      <c r="A150" t="s">
        <v>345</v>
      </c>
      <c r="B150" t="s">
        <v>346</v>
      </c>
      <c r="C150" t="s">
        <v>31</v>
      </c>
      <c r="D150">
        <v>30</v>
      </c>
      <c r="E150" t="s">
        <v>38</v>
      </c>
      <c r="F150" t="s">
        <v>39</v>
      </c>
      <c r="G150" t="s">
        <v>24</v>
      </c>
      <c r="H150" t="s">
        <v>25</v>
      </c>
      <c r="I150">
        <v>8</v>
      </c>
      <c r="J150">
        <v>61250</v>
      </c>
      <c r="K150" t="s">
        <v>26</v>
      </c>
      <c r="L150">
        <v>2</v>
      </c>
      <c r="M150">
        <v>29</v>
      </c>
      <c r="N150">
        <v>4</v>
      </c>
      <c r="O150" t="s">
        <v>28</v>
      </c>
      <c r="P150" t="s">
        <v>28</v>
      </c>
      <c r="Q150">
        <v>4</v>
      </c>
      <c r="R150" t="s">
        <v>27</v>
      </c>
      <c r="S150" t="s">
        <v>27</v>
      </c>
      <c r="T150" t="b">
        <f t="shared" si="20"/>
        <v>0</v>
      </c>
      <c r="U150" t="str">
        <f t="shared" si="21"/>
        <v>Employee_0149</v>
      </c>
      <c r="V150" t="str">
        <f t="shared" si="22"/>
        <v>Male</v>
      </c>
      <c r="W150" t="str">
        <f t="shared" si="23"/>
        <v>Operations</v>
      </c>
      <c r="X150" t="str">
        <f t="shared" si="24"/>
        <v>Hyderabad</v>
      </c>
      <c r="Y150" t="str">
        <f t="shared" si="25"/>
        <v>Valid</v>
      </c>
      <c r="Z150" t="str">
        <f t="shared" si="26"/>
        <v>Valid</v>
      </c>
      <c r="AA150" t="str">
        <f t="shared" si="27"/>
        <v>Valid</v>
      </c>
      <c r="AB150" s="9" t="str">
        <f t="shared" si="28"/>
        <v>Valid</v>
      </c>
      <c r="AC150" s="9" t="str">
        <f t="shared" si="29"/>
        <v>Valid</v>
      </c>
      <c r="AD150" s="9" t="str">
        <f>IF(AND(Y150="Valid",Z150="Valid",AA150="Valid",AB150="Valid",COUNTIF($A$2:A150,A150)=1),"Include","Exclude")</f>
        <v>Include</v>
      </c>
    </row>
    <row r="151" spans="1:30" x14ac:dyDescent="0.35">
      <c r="A151" t="s">
        <v>347</v>
      </c>
      <c r="B151" t="s">
        <v>348</v>
      </c>
      <c r="C151" t="s">
        <v>31</v>
      </c>
      <c r="D151">
        <v>26</v>
      </c>
      <c r="E151" t="s">
        <v>38</v>
      </c>
      <c r="F151" t="s">
        <v>39</v>
      </c>
      <c r="G151" t="s">
        <v>44</v>
      </c>
      <c r="H151" t="s">
        <v>49</v>
      </c>
      <c r="I151">
        <v>3</v>
      </c>
      <c r="J151">
        <v>61913</v>
      </c>
      <c r="K151" t="s">
        <v>45</v>
      </c>
      <c r="L151">
        <v>1</v>
      </c>
      <c r="M151">
        <v>0</v>
      </c>
      <c r="N151">
        <v>4</v>
      </c>
      <c r="O151" t="s">
        <v>27</v>
      </c>
      <c r="P151" t="s">
        <v>27</v>
      </c>
      <c r="Q151">
        <v>5</v>
      </c>
      <c r="R151" t="s">
        <v>27</v>
      </c>
      <c r="S151" t="s">
        <v>27</v>
      </c>
      <c r="T151" t="b">
        <f t="shared" si="20"/>
        <v>0</v>
      </c>
      <c r="U151" t="str">
        <f t="shared" si="21"/>
        <v>Employee_0150</v>
      </c>
      <c r="V151" t="str">
        <f t="shared" si="22"/>
        <v>Male</v>
      </c>
      <c r="W151" t="str">
        <f t="shared" si="23"/>
        <v>Operations</v>
      </c>
      <c r="X151" t="str">
        <f t="shared" si="24"/>
        <v>Delhi</v>
      </c>
      <c r="Y151" t="str">
        <f t="shared" si="25"/>
        <v>Valid</v>
      </c>
      <c r="Z151" t="str">
        <f t="shared" si="26"/>
        <v>Valid</v>
      </c>
      <c r="AA151" t="str">
        <f t="shared" si="27"/>
        <v>Valid</v>
      </c>
      <c r="AB151" s="9" t="str">
        <f t="shared" si="28"/>
        <v>Valid</v>
      </c>
      <c r="AC151" s="9" t="str">
        <f t="shared" si="29"/>
        <v>Valid</v>
      </c>
      <c r="AD151" s="9" t="str">
        <f>IF(AND(Y151="Valid",Z151="Valid",AA151="Valid",AB151="Valid",COUNTIF($A$2:A151,A151)=1),"Include","Exclude")</f>
        <v>Include</v>
      </c>
    </row>
    <row r="152" spans="1:30" x14ac:dyDescent="0.35">
      <c r="A152" t="s">
        <v>349</v>
      </c>
      <c r="B152" t="s">
        <v>350</v>
      </c>
      <c r="C152" t="s">
        <v>31</v>
      </c>
      <c r="D152">
        <v>21</v>
      </c>
      <c r="E152" t="s">
        <v>32</v>
      </c>
      <c r="F152" t="s">
        <v>351</v>
      </c>
      <c r="G152" t="s">
        <v>24</v>
      </c>
      <c r="H152" t="s">
        <v>131</v>
      </c>
      <c r="I152">
        <v>0</v>
      </c>
      <c r="J152">
        <v>44371</v>
      </c>
      <c r="K152" t="s">
        <v>26</v>
      </c>
      <c r="L152">
        <v>8</v>
      </c>
      <c r="M152">
        <v>51</v>
      </c>
      <c r="N152">
        <v>6</v>
      </c>
      <c r="O152" t="s">
        <v>28</v>
      </c>
      <c r="P152" t="s">
        <v>28</v>
      </c>
      <c r="Q152">
        <v>1</v>
      </c>
      <c r="R152" t="s">
        <v>27</v>
      </c>
      <c r="S152" t="s">
        <v>27</v>
      </c>
      <c r="T152" t="b">
        <f t="shared" si="20"/>
        <v>0</v>
      </c>
      <c r="U152" t="str">
        <f t="shared" si="21"/>
        <v>Employee_0151</v>
      </c>
      <c r="V152" t="str">
        <f t="shared" si="22"/>
        <v>Male</v>
      </c>
      <c r="W152" t="str">
        <f t="shared" si="23"/>
        <v>It</v>
      </c>
      <c r="X152" t="str">
        <f t="shared" si="24"/>
        <v>Pune</v>
      </c>
      <c r="Y152" t="str">
        <f t="shared" si="25"/>
        <v>Valid</v>
      </c>
      <c r="Z152" t="str">
        <f t="shared" si="26"/>
        <v>Valid</v>
      </c>
      <c r="AA152" t="str">
        <f t="shared" si="27"/>
        <v>Valid</v>
      </c>
      <c r="AB152" s="9" t="str">
        <f t="shared" si="28"/>
        <v>Valid</v>
      </c>
      <c r="AC152" s="9" t="str">
        <f t="shared" si="29"/>
        <v>Valid</v>
      </c>
      <c r="AD152" s="9" t="str">
        <f>IF(AND(Y152="Valid",Z152="Valid",AA152="Valid",AB152="Valid",COUNTIF($A$2:A152,A152)=1),"Include","Exclude")</f>
        <v>Include</v>
      </c>
    </row>
    <row r="153" spans="1:30" x14ac:dyDescent="0.35">
      <c r="A153" t="s">
        <v>352</v>
      </c>
      <c r="B153" t="s">
        <v>353</v>
      </c>
      <c r="C153" t="s">
        <v>21</v>
      </c>
      <c r="D153">
        <v>26</v>
      </c>
      <c r="E153" t="s">
        <v>38</v>
      </c>
      <c r="F153" t="s">
        <v>60</v>
      </c>
      <c r="G153" t="s">
        <v>24</v>
      </c>
      <c r="H153" t="s">
        <v>70</v>
      </c>
      <c r="I153">
        <v>2</v>
      </c>
      <c r="J153">
        <v>54329</v>
      </c>
      <c r="K153" t="s">
        <v>26</v>
      </c>
      <c r="L153">
        <v>6</v>
      </c>
      <c r="M153">
        <v>34</v>
      </c>
      <c r="N153">
        <v>6</v>
      </c>
      <c r="O153" t="s">
        <v>28</v>
      </c>
      <c r="P153" t="s">
        <v>27</v>
      </c>
      <c r="Q153">
        <v>3</v>
      </c>
      <c r="R153" t="s">
        <v>27</v>
      </c>
      <c r="S153" t="s">
        <v>27</v>
      </c>
      <c r="T153" t="b">
        <f t="shared" si="20"/>
        <v>0</v>
      </c>
      <c r="U153" t="str">
        <f t="shared" si="21"/>
        <v>Employee_0152</v>
      </c>
      <c r="V153" t="str">
        <f t="shared" si="22"/>
        <v>Female</v>
      </c>
      <c r="W153" t="str">
        <f t="shared" si="23"/>
        <v>Hr</v>
      </c>
      <c r="X153" t="str">
        <f t="shared" si="24"/>
        <v>Bangalore</v>
      </c>
      <c r="Y153" t="str">
        <f t="shared" si="25"/>
        <v>Valid</v>
      </c>
      <c r="Z153" t="str">
        <f t="shared" si="26"/>
        <v>Valid</v>
      </c>
      <c r="AA153" t="str">
        <f t="shared" si="27"/>
        <v>Valid</v>
      </c>
      <c r="AB153" s="9" t="str">
        <f t="shared" si="28"/>
        <v>Valid</v>
      </c>
      <c r="AC153" s="9" t="str">
        <f t="shared" si="29"/>
        <v>Valid</v>
      </c>
      <c r="AD153" s="9" t="str">
        <f>IF(AND(Y153="Valid",Z153="Valid",AA153="Valid",AB153="Valid",COUNTIF($A$2:A153,A153)=1),"Include","Exclude")</f>
        <v>Include</v>
      </c>
    </row>
    <row r="154" spans="1:30" x14ac:dyDescent="0.35">
      <c r="A154" t="s">
        <v>354</v>
      </c>
      <c r="B154" t="s">
        <v>355</v>
      </c>
      <c r="C154" t="s">
        <v>31</v>
      </c>
      <c r="D154">
        <v>55</v>
      </c>
      <c r="E154" t="s">
        <v>38</v>
      </c>
      <c r="F154" t="s">
        <v>23</v>
      </c>
      <c r="G154" t="s">
        <v>69</v>
      </c>
      <c r="H154" t="s">
        <v>61</v>
      </c>
      <c r="I154">
        <v>26</v>
      </c>
      <c r="J154">
        <v>68712</v>
      </c>
      <c r="K154" t="s">
        <v>45</v>
      </c>
      <c r="L154">
        <v>6</v>
      </c>
      <c r="M154">
        <v>19</v>
      </c>
      <c r="N154">
        <v>3</v>
      </c>
      <c r="O154" t="s">
        <v>27</v>
      </c>
      <c r="P154" t="s">
        <v>27</v>
      </c>
      <c r="Q154">
        <v>3</v>
      </c>
      <c r="R154" t="s">
        <v>27</v>
      </c>
      <c r="S154" t="s">
        <v>27</v>
      </c>
      <c r="T154" t="b">
        <f t="shared" si="20"/>
        <v>0</v>
      </c>
      <c r="U154" t="str">
        <f t="shared" si="21"/>
        <v>Employee_0153</v>
      </c>
      <c r="V154" t="str">
        <f t="shared" si="22"/>
        <v>Male</v>
      </c>
      <c r="W154" t="str">
        <f t="shared" si="23"/>
        <v>Finance</v>
      </c>
      <c r="X154" t="str">
        <f t="shared" si="24"/>
        <v>Noida</v>
      </c>
      <c r="Y154" t="str">
        <f t="shared" si="25"/>
        <v>Valid</v>
      </c>
      <c r="Z154" t="str">
        <f t="shared" si="26"/>
        <v>Valid</v>
      </c>
      <c r="AA154" t="str">
        <f t="shared" si="27"/>
        <v>Valid</v>
      </c>
      <c r="AB154" s="9" t="str">
        <f t="shared" si="28"/>
        <v>Valid</v>
      </c>
      <c r="AC154" s="9" t="str">
        <f t="shared" si="29"/>
        <v>Valid</v>
      </c>
      <c r="AD154" s="9" t="str">
        <f>IF(AND(Y154="Valid",Z154="Valid",AA154="Valid",AB154="Valid",COUNTIF($A$2:A154,A154)=1),"Include","Exclude")</f>
        <v>Include</v>
      </c>
    </row>
    <row r="155" spans="1:30" x14ac:dyDescent="0.35">
      <c r="A155" t="s">
        <v>356</v>
      </c>
      <c r="B155" t="s">
        <v>357</v>
      </c>
      <c r="C155" t="s">
        <v>31</v>
      </c>
      <c r="D155">
        <v>32</v>
      </c>
      <c r="E155" t="s">
        <v>55</v>
      </c>
      <c r="F155" t="s">
        <v>64</v>
      </c>
      <c r="G155" t="s">
        <v>69</v>
      </c>
      <c r="H155" t="s">
        <v>49</v>
      </c>
      <c r="I155">
        <v>4</v>
      </c>
      <c r="J155">
        <v>47040</v>
      </c>
      <c r="K155" t="s">
        <v>35</v>
      </c>
      <c r="L155">
        <v>8</v>
      </c>
      <c r="M155">
        <v>30</v>
      </c>
      <c r="N155">
        <v>6</v>
      </c>
      <c r="O155" t="s">
        <v>27</v>
      </c>
      <c r="P155" t="s">
        <v>28</v>
      </c>
      <c r="Q155">
        <v>2</v>
      </c>
      <c r="R155" t="s">
        <v>28</v>
      </c>
      <c r="S155" t="s">
        <v>27</v>
      </c>
      <c r="T155" t="b">
        <f t="shared" si="20"/>
        <v>0</v>
      </c>
      <c r="U155" t="str">
        <f t="shared" si="21"/>
        <v>Employee_0154</v>
      </c>
      <c r="V155" t="str">
        <f t="shared" si="22"/>
        <v>Male</v>
      </c>
      <c r="W155" t="str">
        <f t="shared" si="23"/>
        <v>Marketing</v>
      </c>
      <c r="X155" t="str">
        <f t="shared" si="24"/>
        <v>Delhi</v>
      </c>
      <c r="Y155" t="str">
        <f t="shared" si="25"/>
        <v>Valid</v>
      </c>
      <c r="Z155" t="str">
        <f t="shared" si="26"/>
        <v>Valid</v>
      </c>
      <c r="AA155" t="str">
        <f t="shared" si="27"/>
        <v>Valid</v>
      </c>
      <c r="AB155" s="9" t="str">
        <f t="shared" si="28"/>
        <v>Valid</v>
      </c>
      <c r="AC155" s="9" t="str">
        <f t="shared" si="29"/>
        <v>Valid</v>
      </c>
      <c r="AD155" s="9" t="str">
        <f>IF(AND(Y155="Valid",Z155="Valid",AA155="Valid",AB155="Valid",COUNTIF($A$2:A155,A155)=1),"Include","Exclude")</f>
        <v>Include</v>
      </c>
    </row>
    <row r="156" spans="1:30" x14ac:dyDescent="0.35">
      <c r="A156" t="s">
        <v>358</v>
      </c>
      <c r="B156" t="s">
        <v>359</v>
      </c>
      <c r="C156" t="s">
        <v>21</v>
      </c>
      <c r="D156">
        <v>24</v>
      </c>
      <c r="E156" t="s">
        <v>38</v>
      </c>
      <c r="F156" t="s">
        <v>60</v>
      </c>
      <c r="G156" t="s">
        <v>69</v>
      </c>
      <c r="H156" t="s">
        <v>49</v>
      </c>
      <c r="I156">
        <v>1</v>
      </c>
      <c r="J156">
        <v>50831</v>
      </c>
      <c r="K156" t="s">
        <v>45</v>
      </c>
      <c r="L156">
        <v>4</v>
      </c>
      <c r="M156">
        <v>56</v>
      </c>
      <c r="N156">
        <v>4</v>
      </c>
      <c r="O156" t="s">
        <v>27</v>
      </c>
      <c r="P156" t="s">
        <v>28</v>
      </c>
      <c r="Q156">
        <v>2</v>
      </c>
      <c r="R156" t="s">
        <v>27</v>
      </c>
      <c r="S156" t="s">
        <v>27</v>
      </c>
      <c r="T156" t="b">
        <f t="shared" si="20"/>
        <v>0</v>
      </c>
      <c r="U156" t="str">
        <f t="shared" si="21"/>
        <v>Employee_0155</v>
      </c>
      <c r="V156" t="str">
        <f t="shared" si="22"/>
        <v>Female</v>
      </c>
      <c r="W156" t="str">
        <f t="shared" si="23"/>
        <v>Hr</v>
      </c>
      <c r="X156" t="str">
        <f t="shared" si="24"/>
        <v>Delhi</v>
      </c>
      <c r="Y156" t="str">
        <f t="shared" si="25"/>
        <v>Valid</v>
      </c>
      <c r="Z156" t="str">
        <f t="shared" si="26"/>
        <v>Valid</v>
      </c>
      <c r="AA156" t="str">
        <f t="shared" si="27"/>
        <v>Valid</v>
      </c>
      <c r="AB156" s="9" t="str">
        <f t="shared" si="28"/>
        <v>Valid</v>
      </c>
      <c r="AC156" s="9" t="str">
        <f t="shared" si="29"/>
        <v>Valid</v>
      </c>
      <c r="AD156" s="9" t="str">
        <f>IF(AND(Y156="Valid",Z156="Valid",AA156="Valid",AB156="Valid",COUNTIF($A$2:A156,A156)=1),"Include","Exclude")</f>
        <v>Include</v>
      </c>
    </row>
    <row r="157" spans="1:30" x14ac:dyDescent="0.35">
      <c r="A157" t="s">
        <v>360</v>
      </c>
      <c r="B157" t="s">
        <v>361</v>
      </c>
      <c r="C157" t="s">
        <v>21</v>
      </c>
      <c r="D157">
        <v>41</v>
      </c>
      <c r="E157" t="s">
        <v>55</v>
      </c>
      <c r="F157" t="s">
        <v>23</v>
      </c>
      <c r="G157" t="s">
        <v>24</v>
      </c>
      <c r="H157" t="s">
        <v>52</v>
      </c>
      <c r="I157">
        <v>10</v>
      </c>
      <c r="J157">
        <v>82000</v>
      </c>
      <c r="K157" t="s">
        <v>45</v>
      </c>
      <c r="L157">
        <v>1</v>
      </c>
      <c r="M157">
        <v>14</v>
      </c>
      <c r="N157">
        <v>1</v>
      </c>
      <c r="O157" t="s">
        <v>28</v>
      </c>
      <c r="P157" t="s">
        <v>28</v>
      </c>
      <c r="Q157">
        <v>5</v>
      </c>
      <c r="R157" t="s">
        <v>27</v>
      </c>
      <c r="S157" t="s">
        <v>27</v>
      </c>
      <c r="T157" t="b">
        <f t="shared" si="20"/>
        <v>0</v>
      </c>
      <c r="U157" t="str">
        <f t="shared" si="21"/>
        <v>Employee_0156</v>
      </c>
      <c r="V157" t="str">
        <f t="shared" si="22"/>
        <v>Female</v>
      </c>
      <c r="W157" t="str">
        <f t="shared" si="23"/>
        <v>Finance</v>
      </c>
      <c r="X157" t="str">
        <f t="shared" si="24"/>
        <v>Mumbai</v>
      </c>
      <c r="Y157" t="str">
        <f t="shared" si="25"/>
        <v>Valid</v>
      </c>
      <c r="Z157" t="str">
        <f t="shared" si="26"/>
        <v>Valid</v>
      </c>
      <c r="AA157" t="str">
        <f t="shared" si="27"/>
        <v>Valid</v>
      </c>
      <c r="AB157" s="9" t="str">
        <f t="shared" si="28"/>
        <v>Valid</v>
      </c>
      <c r="AC157" s="9" t="str">
        <f t="shared" si="29"/>
        <v>Valid</v>
      </c>
      <c r="AD157" s="9" t="str">
        <f>IF(AND(Y157="Valid",Z157="Valid",AA157="Valid",AB157="Valid",COUNTIF($A$2:A157,A157)=1),"Include","Exclude")</f>
        <v>Include</v>
      </c>
    </row>
    <row r="158" spans="1:30" x14ac:dyDescent="0.35">
      <c r="A158" t="s">
        <v>362</v>
      </c>
      <c r="B158" t="s">
        <v>363</v>
      </c>
      <c r="C158" t="s">
        <v>21</v>
      </c>
      <c r="D158">
        <v>43</v>
      </c>
      <c r="E158" t="s">
        <v>22</v>
      </c>
      <c r="F158" t="s">
        <v>39</v>
      </c>
      <c r="G158" t="s">
        <v>44</v>
      </c>
      <c r="H158" t="s">
        <v>61</v>
      </c>
      <c r="I158">
        <v>15</v>
      </c>
      <c r="J158">
        <v>37918</v>
      </c>
      <c r="K158" t="s">
        <v>40</v>
      </c>
      <c r="L158">
        <v>10</v>
      </c>
      <c r="M158">
        <v>39</v>
      </c>
      <c r="N158">
        <v>2</v>
      </c>
      <c r="O158" t="s">
        <v>28</v>
      </c>
      <c r="P158" t="s">
        <v>27</v>
      </c>
      <c r="Q158">
        <v>5</v>
      </c>
      <c r="R158" t="s">
        <v>28</v>
      </c>
      <c r="S158" t="s">
        <v>27</v>
      </c>
      <c r="T158" t="b">
        <f t="shared" si="20"/>
        <v>0</v>
      </c>
      <c r="U158" t="str">
        <f t="shared" si="21"/>
        <v>Employee_0157</v>
      </c>
      <c r="V158" t="str">
        <f t="shared" si="22"/>
        <v>Female</v>
      </c>
      <c r="W158" t="str">
        <f t="shared" si="23"/>
        <v>Operations</v>
      </c>
      <c r="X158" t="str">
        <f t="shared" si="24"/>
        <v>Noida</v>
      </c>
      <c r="Y158" t="str">
        <f t="shared" si="25"/>
        <v>Valid</v>
      </c>
      <c r="Z158" t="str">
        <f t="shared" si="26"/>
        <v>Valid</v>
      </c>
      <c r="AA158" t="str">
        <f t="shared" si="27"/>
        <v>Valid</v>
      </c>
      <c r="AB158" s="9" t="str">
        <f t="shared" si="28"/>
        <v>Valid</v>
      </c>
      <c r="AC158" s="9" t="str">
        <f t="shared" si="29"/>
        <v>Valid</v>
      </c>
      <c r="AD158" s="9" t="str">
        <f>IF(AND(Y158="Valid",Z158="Valid",AA158="Valid",AB158="Valid",COUNTIF($A$2:A158,A158)=1),"Include","Exclude")</f>
        <v>Include</v>
      </c>
    </row>
    <row r="159" spans="1:30" x14ac:dyDescent="0.35">
      <c r="A159" t="s">
        <v>364</v>
      </c>
      <c r="B159" t="s">
        <v>365</v>
      </c>
      <c r="C159" t="s">
        <v>21</v>
      </c>
      <c r="D159">
        <v>49</v>
      </c>
      <c r="E159" t="s">
        <v>22</v>
      </c>
      <c r="F159" t="s">
        <v>48</v>
      </c>
      <c r="G159" t="s">
        <v>24</v>
      </c>
      <c r="H159" t="s">
        <v>25</v>
      </c>
      <c r="I159">
        <v>21</v>
      </c>
      <c r="J159">
        <v>48171</v>
      </c>
      <c r="K159" t="s">
        <v>45</v>
      </c>
      <c r="L159">
        <v>5</v>
      </c>
      <c r="M159">
        <v>39</v>
      </c>
      <c r="N159">
        <v>5</v>
      </c>
      <c r="O159" t="s">
        <v>28</v>
      </c>
      <c r="P159" t="s">
        <v>28</v>
      </c>
      <c r="Q159">
        <v>3</v>
      </c>
      <c r="R159" t="s">
        <v>27</v>
      </c>
      <c r="S159" t="s">
        <v>27</v>
      </c>
      <c r="T159" t="b">
        <f t="shared" si="20"/>
        <v>0</v>
      </c>
      <c r="U159" t="str">
        <f t="shared" si="21"/>
        <v>Employee_0158</v>
      </c>
      <c r="V159" t="str">
        <f t="shared" si="22"/>
        <v>Female</v>
      </c>
      <c r="W159" t="str">
        <f t="shared" si="23"/>
        <v>Customer Support</v>
      </c>
      <c r="X159" t="str">
        <f t="shared" si="24"/>
        <v>Hyderabad</v>
      </c>
      <c r="Y159" t="str">
        <f t="shared" si="25"/>
        <v>Valid</v>
      </c>
      <c r="Z159" t="str">
        <f t="shared" si="26"/>
        <v>Valid</v>
      </c>
      <c r="AA159" t="str">
        <f t="shared" si="27"/>
        <v>Valid</v>
      </c>
      <c r="AB159" s="9" t="str">
        <f t="shared" si="28"/>
        <v>Valid</v>
      </c>
      <c r="AC159" s="9" t="str">
        <f t="shared" si="29"/>
        <v>Valid</v>
      </c>
      <c r="AD159" s="9" t="str">
        <f>IF(AND(Y159="Valid",Z159="Valid",AA159="Valid",AB159="Valid",COUNTIF($A$2:A159,A159)=1),"Include","Exclude")</f>
        <v>Include</v>
      </c>
    </row>
    <row r="160" spans="1:30" x14ac:dyDescent="0.35">
      <c r="A160" t="s">
        <v>366</v>
      </c>
      <c r="B160" t="s">
        <v>367</v>
      </c>
      <c r="C160" t="s">
        <v>31</v>
      </c>
      <c r="D160">
        <v>53</v>
      </c>
      <c r="E160" t="s">
        <v>38</v>
      </c>
      <c r="F160" t="s">
        <v>43</v>
      </c>
      <c r="G160" t="s">
        <v>24</v>
      </c>
      <c r="H160" t="s">
        <v>49</v>
      </c>
      <c r="I160">
        <v>13</v>
      </c>
      <c r="J160">
        <v>77703</v>
      </c>
      <c r="K160" t="s">
        <v>45</v>
      </c>
      <c r="L160">
        <v>5</v>
      </c>
      <c r="M160">
        <v>20</v>
      </c>
      <c r="N160">
        <v>3</v>
      </c>
      <c r="O160" t="s">
        <v>27</v>
      </c>
      <c r="P160" t="s">
        <v>28</v>
      </c>
      <c r="Q160">
        <v>5</v>
      </c>
      <c r="R160" t="s">
        <v>27</v>
      </c>
      <c r="S160" t="s">
        <v>28</v>
      </c>
      <c r="T160" t="b">
        <f t="shared" si="20"/>
        <v>0</v>
      </c>
      <c r="U160" t="str">
        <f t="shared" si="21"/>
        <v>Employee_0159</v>
      </c>
      <c r="V160" t="str">
        <f t="shared" si="22"/>
        <v>Male</v>
      </c>
      <c r="W160" t="str">
        <f t="shared" si="23"/>
        <v>It</v>
      </c>
      <c r="X160" t="str">
        <f t="shared" si="24"/>
        <v>Delhi</v>
      </c>
      <c r="Y160" t="str">
        <f t="shared" si="25"/>
        <v>Valid</v>
      </c>
      <c r="Z160" t="str">
        <f t="shared" si="26"/>
        <v>Valid</v>
      </c>
      <c r="AA160" t="str">
        <f t="shared" si="27"/>
        <v>Valid</v>
      </c>
      <c r="AB160" s="9" t="str">
        <f t="shared" si="28"/>
        <v>Valid</v>
      </c>
      <c r="AC160" s="9" t="str">
        <f t="shared" si="29"/>
        <v>Valid</v>
      </c>
      <c r="AD160" s="9" t="str">
        <f>IF(AND(Y160="Valid",Z160="Valid",AA160="Valid",AB160="Valid",COUNTIF($A$2:A160,A160)=1),"Include","Exclude")</f>
        <v>Include</v>
      </c>
    </row>
    <row r="161" spans="1:30" x14ac:dyDescent="0.35">
      <c r="A161" t="s">
        <v>368</v>
      </c>
      <c r="B161" t="s">
        <v>369</v>
      </c>
      <c r="C161" t="s">
        <v>21</v>
      </c>
      <c r="D161">
        <v>45</v>
      </c>
      <c r="E161" t="s">
        <v>55</v>
      </c>
      <c r="F161" t="s">
        <v>64</v>
      </c>
      <c r="G161" t="s">
        <v>44</v>
      </c>
      <c r="H161" t="s">
        <v>70</v>
      </c>
      <c r="I161">
        <v>9</v>
      </c>
      <c r="J161">
        <v>62242</v>
      </c>
      <c r="K161" t="s">
        <v>45</v>
      </c>
      <c r="L161">
        <v>6</v>
      </c>
      <c r="M161">
        <v>28</v>
      </c>
      <c r="N161">
        <v>6</v>
      </c>
      <c r="O161" t="s">
        <v>27</v>
      </c>
      <c r="P161" t="s">
        <v>28</v>
      </c>
      <c r="Q161">
        <v>5</v>
      </c>
      <c r="R161" t="s">
        <v>28</v>
      </c>
      <c r="S161" t="s">
        <v>27</v>
      </c>
      <c r="T161" t="b">
        <f t="shared" si="20"/>
        <v>0</v>
      </c>
      <c r="U161" t="str">
        <f t="shared" si="21"/>
        <v>Employee_0160</v>
      </c>
      <c r="V161" t="str">
        <f t="shared" si="22"/>
        <v>Female</v>
      </c>
      <c r="W161" t="str">
        <f t="shared" si="23"/>
        <v>Marketing</v>
      </c>
      <c r="X161" t="str">
        <f t="shared" si="24"/>
        <v>Bangalore</v>
      </c>
      <c r="Y161" t="str">
        <f t="shared" si="25"/>
        <v>Valid</v>
      </c>
      <c r="Z161" t="str">
        <f t="shared" si="26"/>
        <v>Valid</v>
      </c>
      <c r="AA161" t="str">
        <f t="shared" si="27"/>
        <v>Valid</v>
      </c>
      <c r="AB161" s="9" t="str">
        <f t="shared" si="28"/>
        <v>Valid</v>
      </c>
      <c r="AC161" s="9" t="str">
        <f t="shared" si="29"/>
        <v>Valid</v>
      </c>
      <c r="AD161" s="9" t="str">
        <f>IF(AND(Y161="Valid",Z161="Valid",AA161="Valid",AB161="Valid",COUNTIF($A$2:A161,A161)=1),"Include","Exclude")</f>
        <v>Include</v>
      </c>
    </row>
    <row r="162" spans="1:30" x14ac:dyDescent="0.35">
      <c r="A162" t="s">
        <v>370</v>
      </c>
      <c r="B162" t="s">
        <v>371</v>
      </c>
      <c r="C162" t="s">
        <v>31</v>
      </c>
      <c r="D162">
        <v>36</v>
      </c>
      <c r="E162" t="s">
        <v>55</v>
      </c>
      <c r="F162" t="s">
        <v>23</v>
      </c>
      <c r="G162" t="s">
        <v>24</v>
      </c>
      <c r="H162" t="s">
        <v>34</v>
      </c>
      <c r="I162">
        <v>7</v>
      </c>
      <c r="J162">
        <v>62079</v>
      </c>
      <c r="K162" t="s">
        <v>35</v>
      </c>
      <c r="L162">
        <v>4</v>
      </c>
      <c r="M162">
        <v>58</v>
      </c>
      <c r="N162">
        <v>4</v>
      </c>
      <c r="O162" t="s">
        <v>27</v>
      </c>
      <c r="P162" t="s">
        <v>27</v>
      </c>
      <c r="Q162">
        <v>5</v>
      </c>
      <c r="R162" t="s">
        <v>28</v>
      </c>
      <c r="S162" t="s">
        <v>27</v>
      </c>
      <c r="T162" t="b">
        <f t="shared" si="20"/>
        <v>0</v>
      </c>
      <c r="U162" t="str">
        <f t="shared" si="21"/>
        <v>Employee_0161</v>
      </c>
      <c r="V162" t="str">
        <f t="shared" si="22"/>
        <v>Male</v>
      </c>
      <c r="W162" t="str">
        <f t="shared" si="23"/>
        <v>Finance</v>
      </c>
      <c r="X162" t="str">
        <f t="shared" si="24"/>
        <v>Gurgaon</v>
      </c>
      <c r="Y162" t="str">
        <f t="shared" si="25"/>
        <v>Valid</v>
      </c>
      <c r="Z162" t="str">
        <f t="shared" si="26"/>
        <v>Valid</v>
      </c>
      <c r="AA162" t="str">
        <f t="shared" si="27"/>
        <v>Valid</v>
      </c>
      <c r="AB162" s="9" t="str">
        <f t="shared" si="28"/>
        <v>Valid</v>
      </c>
      <c r="AC162" s="9" t="str">
        <f t="shared" si="29"/>
        <v>Valid</v>
      </c>
      <c r="AD162" s="9" t="str">
        <f>IF(AND(Y162="Valid",Z162="Valid",AA162="Valid",AB162="Valid",COUNTIF($A$2:A162,A162)=1),"Include","Exclude")</f>
        <v>Include</v>
      </c>
    </row>
    <row r="163" spans="1:30" x14ac:dyDescent="0.35">
      <c r="A163" t="s">
        <v>372</v>
      </c>
      <c r="B163" t="s">
        <v>373</v>
      </c>
      <c r="C163" t="s">
        <v>31</v>
      </c>
      <c r="D163">
        <v>24</v>
      </c>
      <c r="E163" t="s">
        <v>55</v>
      </c>
      <c r="F163" t="s">
        <v>64</v>
      </c>
      <c r="G163" t="s">
        <v>24</v>
      </c>
      <c r="H163" t="s">
        <v>61</v>
      </c>
      <c r="I163">
        <v>1</v>
      </c>
      <c r="J163">
        <v>65518</v>
      </c>
      <c r="K163" t="s">
        <v>45</v>
      </c>
      <c r="L163">
        <v>3</v>
      </c>
      <c r="M163">
        <v>30</v>
      </c>
      <c r="N163">
        <v>3</v>
      </c>
      <c r="O163" t="s">
        <v>28</v>
      </c>
      <c r="P163" t="s">
        <v>28</v>
      </c>
      <c r="Q163">
        <v>4</v>
      </c>
      <c r="R163" t="s">
        <v>27</v>
      </c>
      <c r="S163" t="s">
        <v>28</v>
      </c>
      <c r="T163" t="b">
        <f t="shared" si="20"/>
        <v>0</v>
      </c>
      <c r="U163" t="str">
        <f t="shared" si="21"/>
        <v>Employee_0162</v>
      </c>
      <c r="V163" t="str">
        <f t="shared" si="22"/>
        <v>Male</v>
      </c>
      <c r="W163" t="str">
        <f t="shared" si="23"/>
        <v>Marketing</v>
      </c>
      <c r="X163" t="str">
        <f t="shared" si="24"/>
        <v>Noida</v>
      </c>
      <c r="Y163" t="str">
        <f t="shared" si="25"/>
        <v>Valid</v>
      </c>
      <c r="Z163" t="str">
        <f t="shared" si="26"/>
        <v>Valid</v>
      </c>
      <c r="AA163" t="str">
        <f t="shared" si="27"/>
        <v>Valid</v>
      </c>
      <c r="AB163" s="9" t="str">
        <f t="shared" si="28"/>
        <v>Valid</v>
      </c>
      <c r="AC163" s="9" t="str">
        <f t="shared" si="29"/>
        <v>Valid</v>
      </c>
      <c r="AD163" s="9" t="str">
        <f>IF(AND(Y163="Valid",Z163="Valid",AA163="Valid",AB163="Valid",COUNTIF($A$2:A163,A163)=1),"Include","Exclude")</f>
        <v>Include</v>
      </c>
    </row>
    <row r="164" spans="1:30" x14ac:dyDescent="0.35">
      <c r="A164" t="s">
        <v>374</v>
      </c>
      <c r="B164" t="s">
        <v>375</v>
      </c>
      <c r="C164" t="s">
        <v>21</v>
      </c>
      <c r="D164">
        <v>51</v>
      </c>
      <c r="E164" t="s">
        <v>55</v>
      </c>
      <c r="F164" t="s">
        <v>48</v>
      </c>
      <c r="G164" t="s">
        <v>69</v>
      </c>
      <c r="H164" t="s">
        <v>49</v>
      </c>
      <c r="I164">
        <v>11</v>
      </c>
      <c r="J164">
        <v>54818</v>
      </c>
      <c r="K164" t="s">
        <v>40</v>
      </c>
      <c r="L164">
        <v>1</v>
      </c>
      <c r="M164">
        <v>35</v>
      </c>
      <c r="N164">
        <v>5</v>
      </c>
      <c r="O164" t="s">
        <v>28</v>
      </c>
      <c r="P164" t="s">
        <v>28</v>
      </c>
      <c r="Q164">
        <v>2</v>
      </c>
      <c r="R164" t="s">
        <v>27</v>
      </c>
      <c r="S164" t="s">
        <v>27</v>
      </c>
      <c r="T164" t="b">
        <f t="shared" si="20"/>
        <v>0</v>
      </c>
      <c r="U164" t="str">
        <f t="shared" si="21"/>
        <v>Employee_0163</v>
      </c>
      <c r="V164" t="str">
        <f t="shared" si="22"/>
        <v>Female</v>
      </c>
      <c r="W164" t="str">
        <f t="shared" si="23"/>
        <v>Customer Support</v>
      </c>
      <c r="X164" t="str">
        <f t="shared" si="24"/>
        <v>Delhi</v>
      </c>
      <c r="Y164" t="str">
        <f t="shared" si="25"/>
        <v>Valid</v>
      </c>
      <c r="Z164" t="str">
        <f t="shared" si="26"/>
        <v>Valid</v>
      </c>
      <c r="AA164" t="str">
        <f t="shared" si="27"/>
        <v>Valid</v>
      </c>
      <c r="AB164" s="9" t="str">
        <f t="shared" si="28"/>
        <v>Valid</v>
      </c>
      <c r="AC164" s="9" t="str">
        <f t="shared" si="29"/>
        <v>Valid</v>
      </c>
      <c r="AD164" s="9" t="str">
        <f>IF(AND(Y164="Valid",Z164="Valid",AA164="Valid",AB164="Valid",COUNTIF($A$2:A164,A164)=1),"Include","Exclude")</f>
        <v>Include</v>
      </c>
    </row>
    <row r="165" spans="1:30" x14ac:dyDescent="0.35">
      <c r="A165" t="s">
        <v>376</v>
      </c>
      <c r="B165" t="s">
        <v>377</v>
      </c>
      <c r="C165" t="s">
        <v>21</v>
      </c>
      <c r="D165">
        <v>39</v>
      </c>
      <c r="E165" t="s">
        <v>32</v>
      </c>
      <c r="F165" t="s">
        <v>39</v>
      </c>
      <c r="G165" t="s">
        <v>24</v>
      </c>
      <c r="H165" t="s">
        <v>70</v>
      </c>
      <c r="I165">
        <v>9</v>
      </c>
      <c r="J165">
        <v>53175</v>
      </c>
      <c r="K165" t="s">
        <v>26</v>
      </c>
      <c r="L165">
        <v>10</v>
      </c>
      <c r="M165">
        <v>35</v>
      </c>
      <c r="N165">
        <v>2</v>
      </c>
      <c r="O165" t="s">
        <v>27</v>
      </c>
      <c r="P165" t="s">
        <v>27</v>
      </c>
      <c r="Q165">
        <v>5</v>
      </c>
      <c r="R165" t="s">
        <v>27</v>
      </c>
      <c r="S165" t="s">
        <v>27</v>
      </c>
      <c r="T165" t="b">
        <f t="shared" si="20"/>
        <v>0</v>
      </c>
      <c r="U165" t="str">
        <f t="shared" si="21"/>
        <v>Employee_0164</v>
      </c>
      <c r="V165" t="str">
        <f t="shared" si="22"/>
        <v>Female</v>
      </c>
      <c r="W165" t="str">
        <f t="shared" si="23"/>
        <v>Operations</v>
      </c>
      <c r="X165" t="str">
        <f t="shared" si="24"/>
        <v>Bangalore</v>
      </c>
      <c r="Y165" t="str">
        <f t="shared" si="25"/>
        <v>Valid</v>
      </c>
      <c r="Z165" t="str">
        <f t="shared" si="26"/>
        <v>Valid</v>
      </c>
      <c r="AA165" t="str">
        <f t="shared" si="27"/>
        <v>Valid</v>
      </c>
      <c r="AB165" s="9" t="str">
        <f t="shared" si="28"/>
        <v>Valid</v>
      </c>
      <c r="AC165" s="9" t="str">
        <f t="shared" si="29"/>
        <v>Valid</v>
      </c>
      <c r="AD165" s="9" t="str">
        <f>IF(AND(Y165="Valid",Z165="Valid",AA165="Valid",AB165="Valid",COUNTIF($A$2:A165,A165)=1),"Include","Exclude")</f>
        <v>Include</v>
      </c>
    </row>
    <row r="166" spans="1:30" x14ac:dyDescent="0.35">
      <c r="A166" t="s">
        <v>378</v>
      </c>
      <c r="B166" t="s">
        <v>379</v>
      </c>
      <c r="C166" t="s">
        <v>31</v>
      </c>
      <c r="D166">
        <v>30</v>
      </c>
      <c r="E166" t="s">
        <v>55</v>
      </c>
      <c r="F166" t="s">
        <v>60</v>
      </c>
      <c r="G166" t="s">
        <v>24</v>
      </c>
      <c r="H166" t="s">
        <v>131</v>
      </c>
      <c r="I166">
        <v>4</v>
      </c>
      <c r="J166">
        <v>58446</v>
      </c>
      <c r="K166" t="s">
        <v>26</v>
      </c>
      <c r="L166">
        <v>1</v>
      </c>
      <c r="M166">
        <v>26</v>
      </c>
      <c r="N166">
        <v>4</v>
      </c>
      <c r="O166" t="s">
        <v>27</v>
      </c>
      <c r="P166" t="s">
        <v>28</v>
      </c>
      <c r="Q166">
        <v>3</v>
      </c>
      <c r="R166" t="s">
        <v>27</v>
      </c>
      <c r="S166" t="s">
        <v>27</v>
      </c>
      <c r="T166" t="b">
        <f t="shared" si="20"/>
        <v>0</v>
      </c>
      <c r="U166" t="str">
        <f t="shared" si="21"/>
        <v>Employee_0165</v>
      </c>
      <c r="V166" t="str">
        <f t="shared" si="22"/>
        <v>Male</v>
      </c>
      <c r="W166" t="str">
        <f t="shared" si="23"/>
        <v>Hr</v>
      </c>
      <c r="X166" t="str">
        <f t="shared" si="24"/>
        <v>Pune</v>
      </c>
      <c r="Y166" t="str">
        <f t="shared" si="25"/>
        <v>Valid</v>
      </c>
      <c r="Z166" t="str">
        <f t="shared" si="26"/>
        <v>Valid</v>
      </c>
      <c r="AA166" t="str">
        <f t="shared" si="27"/>
        <v>Valid</v>
      </c>
      <c r="AB166" s="9" t="str">
        <f t="shared" si="28"/>
        <v>Valid</v>
      </c>
      <c r="AC166" s="9" t="str">
        <f t="shared" si="29"/>
        <v>Valid</v>
      </c>
      <c r="AD166" s="9" t="str">
        <f>IF(AND(Y166="Valid",Z166="Valid",AA166="Valid",AB166="Valid",COUNTIF($A$2:A166,A166)=1),"Include","Exclude")</f>
        <v>Include</v>
      </c>
    </row>
    <row r="167" spans="1:30" x14ac:dyDescent="0.35">
      <c r="A167" t="s">
        <v>380</v>
      </c>
      <c r="B167" t="s">
        <v>381</v>
      </c>
      <c r="C167" t="s">
        <v>21</v>
      </c>
      <c r="D167">
        <v>41</v>
      </c>
      <c r="E167" t="s">
        <v>32</v>
      </c>
      <c r="F167" t="s">
        <v>60</v>
      </c>
      <c r="G167" t="s">
        <v>44</v>
      </c>
      <c r="H167" t="s">
        <v>70</v>
      </c>
      <c r="I167">
        <v>10</v>
      </c>
      <c r="J167">
        <v>55469</v>
      </c>
      <c r="K167" t="s">
        <v>45</v>
      </c>
      <c r="L167">
        <v>3</v>
      </c>
      <c r="M167">
        <v>45</v>
      </c>
      <c r="N167">
        <v>2</v>
      </c>
      <c r="O167" t="s">
        <v>27</v>
      </c>
      <c r="P167" t="s">
        <v>28</v>
      </c>
      <c r="Q167">
        <v>3</v>
      </c>
      <c r="R167" t="s">
        <v>27</v>
      </c>
      <c r="S167" t="s">
        <v>27</v>
      </c>
      <c r="T167" t="b">
        <f t="shared" si="20"/>
        <v>0</v>
      </c>
      <c r="U167" t="str">
        <f t="shared" si="21"/>
        <v>Employee_0166</v>
      </c>
      <c r="V167" t="str">
        <f t="shared" si="22"/>
        <v>Female</v>
      </c>
      <c r="W167" t="str">
        <f t="shared" si="23"/>
        <v>Hr</v>
      </c>
      <c r="X167" t="str">
        <f t="shared" si="24"/>
        <v>Bangalore</v>
      </c>
      <c r="Y167" t="str">
        <f t="shared" si="25"/>
        <v>Valid</v>
      </c>
      <c r="Z167" t="str">
        <f t="shared" si="26"/>
        <v>Valid</v>
      </c>
      <c r="AA167" t="str">
        <f t="shared" si="27"/>
        <v>Valid</v>
      </c>
      <c r="AB167" s="9" t="str">
        <f t="shared" si="28"/>
        <v>Valid</v>
      </c>
      <c r="AC167" s="9" t="str">
        <f t="shared" si="29"/>
        <v>Valid</v>
      </c>
      <c r="AD167" s="9" t="str">
        <f>IF(AND(Y167="Valid",Z167="Valid",AA167="Valid",AB167="Valid",COUNTIF($A$2:A167,A167)=1),"Include","Exclude")</f>
        <v>Include</v>
      </c>
    </row>
    <row r="168" spans="1:30" x14ac:dyDescent="0.35">
      <c r="A168" t="s">
        <v>382</v>
      </c>
      <c r="B168" t="s">
        <v>383</v>
      </c>
      <c r="C168" t="s">
        <v>21</v>
      </c>
      <c r="D168">
        <v>21</v>
      </c>
      <c r="E168" t="s">
        <v>38</v>
      </c>
      <c r="F168" t="s">
        <v>64</v>
      </c>
      <c r="G168" t="s">
        <v>24</v>
      </c>
      <c r="H168" t="s">
        <v>131</v>
      </c>
      <c r="I168">
        <v>0</v>
      </c>
      <c r="J168">
        <v>61185</v>
      </c>
      <c r="K168" t="s">
        <v>35</v>
      </c>
      <c r="L168">
        <v>3</v>
      </c>
      <c r="M168">
        <v>33</v>
      </c>
      <c r="N168">
        <v>3</v>
      </c>
      <c r="O168" t="s">
        <v>28</v>
      </c>
      <c r="P168" t="s">
        <v>27</v>
      </c>
      <c r="Q168">
        <v>3</v>
      </c>
      <c r="R168" t="s">
        <v>27</v>
      </c>
      <c r="S168" t="s">
        <v>27</v>
      </c>
      <c r="T168" t="b">
        <f t="shared" si="20"/>
        <v>0</v>
      </c>
      <c r="U168" t="str">
        <f t="shared" si="21"/>
        <v>Employee_0167</v>
      </c>
      <c r="V168" t="str">
        <f t="shared" si="22"/>
        <v>Female</v>
      </c>
      <c r="W168" t="str">
        <f t="shared" si="23"/>
        <v>Marketing</v>
      </c>
      <c r="X168" t="str">
        <f t="shared" si="24"/>
        <v>Pune</v>
      </c>
      <c r="Y168" t="str">
        <f t="shared" si="25"/>
        <v>Valid</v>
      </c>
      <c r="Z168" t="str">
        <f t="shared" si="26"/>
        <v>Valid</v>
      </c>
      <c r="AA168" t="str">
        <f t="shared" si="27"/>
        <v>Valid</v>
      </c>
      <c r="AB168" s="9" t="str">
        <f t="shared" si="28"/>
        <v>Valid</v>
      </c>
      <c r="AC168" s="9" t="str">
        <f t="shared" si="29"/>
        <v>Valid</v>
      </c>
      <c r="AD168" s="9" t="str">
        <f>IF(AND(Y168="Valid",Z168="Valid",AA168="Valid",AB168="Valid",COUNTIF($A$2:A168,A168)=1),"Include","Exclude")</f>
        <v>Include</v>
      </c>
    </row>
    <row r="169" spans="1:30" x14ac:dyDescent="0.35">
      <c r="A169" t="s">
        <v>384</v>
      </c>
      <c r="B169" t="s">
        <v>385</v>
      </c>
      <c r="C169" t="s">
        <v>31</v>
      </c>
      <c r="D169">
        <v>44</v>
      </c>
      <c r="E169" t="s">
        <v>38</v>
      </c>
      <c r="F169" t="s">
        <v>23</v>
      </c>
      <c r="G169" t="s">
        <v>24</v>
      </c>
      <c r="H169" t="s">
        <v>52</v>
      </c>
      <c r="I169">
        <v>15</v>
      </c>
      <c r="J169">
        <v>82000</v>
      </c>
      <c r="K169" t="s">
        <v>26</v>
      </c>
      <c r="L169">
        <v>8</v>
      </c>
      <c r="M169">
        <v>32</v>
      </c>
      <c r="N169">
        <v>6</v>
      </c>
      <c r="O169" t="s">
        <v>28</v>
      </c>
      <c r="P169" t="s">
        <v>28</v>
      </c>
      <c r="Q169">
        <v>2</v>
      </c>
      <c r="R169" t="s">
        <v>28</v>
      </c>
      <c r="S169" t="s">
        <v>27</v>
      </c>
      <c r="T169" t="b">
        <f t="shared" si="20"/>
        <v>0</v>
      </c>
      <c r="U169" t="str">
        <f t="shared" si="21"/>
        <v>Employee_0168</v>
      </c>
      <c r="V169" t="str">
        <f t="shared" si="22"/>
        <v>Male</v>
      </c>
      <c r="W169" t="str">
        <f t="shared" si="23"/>
        <v>Finance</v>
      </c>
      <c r="X169" t="str">
        <f t="shared" si="24"/>
        <v>Mumbai</v>
      </c>
      <c r="Y169" t="str">
        <f t="shared" si="25"/>
        <v>Valid</v>
      </c>
      <c r="Z169" t="str">
        <f t="shared" si="26"/>
        <v>Valid</v>
      </c>
      <c r="AA169" t="str">
        <f t="shared" si="27"/>
        <v>Valid</v>
      </c>
      <c r="AB169" s="9" t="str">
        <f t="shared" si="28"/>
        <v>Valid</v>
      </c>
      <c r="AC169" s="9" t="str">
        <f t="shared" si="29"/>
        <v>Valid</v>
      </c>
      <c r="AD169" s="9" t="str">
        <f>IF(AND(Y169="Valid",Z169="Valid",AA169="Valid",AB169="Valid",COUNTIF($A$2:A169,A169)=1),"Include","Exclude")</f>
        <v>Include</v>
      </c>
    </row>
    <row r="170" spans="1:30" x14ac:dyDescent="0.35">
      <c r="A170" t="s">
        <v>386</v>
      </c>
      <c r="B170" t="s">
        <v>387</v>
      </c>
      <c r="C170" t="s">
        <v>31</v>
      </c>
      <c r="D170">
        <v>49</v>
      </c>
      <c r="E170" t="s">
        <v>38</v>
      </c>
      <c r="F170" t="s">
        <v>43</v>
      </c>
      <c r="G170" t="s">
        <v>24</v>
      </c>
      <c r="H170" t="s">
        <v>131</v>
      </c>
      <c r="I170">
        <v>23</v>
      </c>
      <c r="J170">
        <v>82000</v>
      </c>
      <c r="K170" t="s">
        <v>45</v>
      </c>
      <c r="L170">
        <v>1</v>
      </c>
      <c r="M170">
        <v>21</v>
      </c>
      <c r="N170">
        <v>4</v>
      </c>
      <c r="O170" t="s">
        <v>27</v>
      </c>
      <c r="P170" t="s">
        <v>27</v>
      </c>
      <c r="Q170">
        <v>5</v>
      </c>
      <c r="R170" t="s">
        <v>27</v>
      </c>
      <c r="S170" t="s">
        <v>28</v>
      </c>
      <c r="T170" t="b">
        <f t="shared" si="20"/>
        <v>0</v>
      </c>
      <c r="U170" t="str">
        <f t="shared" si="21"/>
        <v>Employee_0169</v>
      </c>
      <c r="V170" t="str">
        <f t="shared" si="22"/>
        <v>Male</v>
      </c>
      <c r="W170" t="str">
        <f t="shared" si="23"/>
        <v>It</v>
      </c>
      <c r="X170" t="str">
        <f t="shared" si="24"/>
        <v>Pune</v>
      </c>
      <c r="Y170" t="str">
        <f t="shared" si="25"/>
        <v>Valid</v>
      </c>
      <c r="Z170" t="str">
        <f t="shared" si="26"/>
        <v>Valid</v>
      </c>
      <c r="AA170" t="str">
        <f t="shared" si="27"/>
        <v>Valid</v>
      </c>
      <c r="AB170" s="9" t="str">
        <f t="shared" si="28"/>
        <v>Valid</v>
      </c>
      <c r="AC170" s="9" t="str">
        <f t="shared" si="29"/>
        <v>Valid</v>
      </c>
      <c r="AD170" s="9" t="str">
        <f>IF(AND(Y170="Valid",Z170="Valid",AA170="Valid",AB170="Valid",COUNTIF($A$2:A170,A170)=1),"Include","Exclude")</f>
        <v>Include</v>
      </c>
    </row>
    <row r="171" spans="1:30" x14ac:dyDescent="0.35">
      <c r="A171" t="s">
        <v>388</v>
      </c>
      <c r="B171" t="s">
        <v>389</v>
      </c>
      <c r="C171" t="s">
        <v>21</v>
      </c>
      <c r="D171">
        <v>52</v>
      </c>
      <c r="E171" t="s">
        <v>55</v>
      </c>
      <c r="F171" t="s">
        <v>33</v>
      </c>
      <c r="G171" t="s">
        <v>24</v>
      </c>
      <c r="H171" t="s">
        <v>52</v>
      </c>
      <c r="I171">
        <v>18</v>
      </c>
      <c r="J171">
        <v>67095</v>
      </c>
      <c r="K171" t="s">
        <v>45</v>
      </c>
      <c r="L171">
        <v>1</v>
      </c>
      <c r="M171">
        <v>34</v>
      </c>
      <c r="N171">
        <v>3</v>
      </c>
      <c r="O171" t="s">
        <v>27</v>
      </c>
      <c r="P171" t="s">
        <v>28</v>
      </c>
      <c r="Q171">
        <v>4</v>
      </c>
      <c r="R171" t="s">
        <v>28</v>
      </c>
      <c r="S171" t="s">
        <v>27</v>
      </c>
      <c r="T171" t="b">
        <f t="shared" si="20"/>
        <v>0</v>
      </c>
      <c r="U171" t="str">
        <f t="shared" si="21"/>
        <v>Employee_0170</v>
      </c>
      <c r="V171" t="str">
        <f t="shared" si="22"/>
        <v>Female</v>
      </c>
      <c r="W171" t="str">
        <f t="shared" si="23"/>
        <v>Sales</v>
      </c>
      <c r="X171" t="str">
        <f t="shared" si="24"/>
        <v>Mumbai</v>
      </c>
      <c r="Y171" t="str">
        <f t="shared" si="25"/>
        <v>Valid</v>
      </c>
      <c r="Z171" t="str">
        <f t="shared" si="26"/>
        <v>Valid</v>
      </c>
      <c r="AA171" t="str">
        <f t="shared" si="27"/>
        <v>Valid</v>
      </c>
      <c r="AB171" s="9" t="str">
        <f t="shared" si="28"/>
        <v>Valid</v>
      </c>
      <c r="AC171" s="9" t="str">
        <f t="shared" si="29"/>
        <v>Valid</v>
      </c>
      <c r="AD171" s="9" t="str">
        <f>IF(AND(Y171="Valid",Z171="Valid",AA171="Valid",AB171="Valid",COUNTIF($A$2:A171,A171)=1),"Include","Exclude")</f>
        <v>Include</v>
      </c>
    </row>
    <row r="172" spans="1:30" hidden="1" x14ac:dyDescent="0.35">
      <c r="A172" t="s">
        <v>390</v>
      </c>
      <c r="B172" t="s">
        <v>391</v>
      </c>
      <c r="C172" t="s">
        <v>21</v>
      </c>
      <c r="D172">
        <v>42</v>
      </c>
      <c r="E172" t="s">
        <v>55</v>
      </c>
      <c r="F172" t="s">
        <v>23</v>
      </c>
      <c r="G172" t="s">
        <v>24</v>
      </c>
      <c r="H172" t="s">
        <v>34</v>
      </c>
      <c r="I172">
        <v>17</v>
      </c>
      <c r="J172">
        <v>79372</v>
      </c>
      <c r="K172" t="s">
        <v>26</v>
      </c>
      <c r="L172">
        <v>11</v>
      </c>
      <c r="M172">
        <v>26</v>
      </c>
      <c r="N172">
        <v>8</v>
      </c>
      <c r="O172" t="s">
        <v>28</v>
      </c>
      <c r="P172" t="s">
        <v>28</v>
      </c>
      <c r="Q172">
        <v>3</v>
      </c>
      <c r="R172" t="s">
        <v>27</v>
      </c>
      <c r="S172" t="s">
        <v>28</v>
      </c>
      <c r="T172" t="b">
        <f t="shared" si="20"/>
        <v>0</v>
      </c>
      <c r="U172" t="str">
        <f t="shared" si="21"/>
        <v>Employee_0171</v>
      </c>
      <c r="V172" t="str">
        <f t="shared" si="22"/>
        <v>Female</v>
      </c>
      <c r="W172" t="str">
        <f t="shared" si="23"/>
        <v>Finance</v>
      </c>
      <c r="X172" t="str">
        <f t="shared" si="24"/>
        <v>Gurgaon</v>
      </c>
      <c r="Y172" t="str">
        <f t="shared" si="25"/>
        <v>Valid</v>
      </c>
      <c r="Z172" t="str">
        <f t="shared" si="26"/>
        <v>Check</v>
      </c>
      <c r="AA172" t="str">
        <f t="shared" si="27"/>
        <v>Valid</v>
      </c>
      <c r="AB172" s="9" t="str">
        <f t="shared" si="28"/>
        <v>Valid</v>
      </c>
      <c r="AC172" s="9" t="str">
        <f t="shared" si="29"/>
        <v>Check</v>
      </c>
      <c r="AD172" s="9" t="str">
        <f>IF(AND(Y172="Valid",Z172="Valid",AA172="Valid",AB172="Valid",COUNTIF($A$2:A172,A172)=1),"Include","Exclude")</f>
        <v>Exclude</v>
      </c>
    </row>
    <row r="173" spans="1:30" x14ac:dyDescent="0.35">
      <c r="A173" t="s">
        <v>392</v>
      </c>
      <c r="B173" t="s">
        <v>393</v>
      </c>
      <c r="C173" t="s">
        <v>31</v>
      </c>
      <c r="D173">
        <v>30</v>
      </c>
      <c r="E173" t="s">
        <v>32</v>
      </c>
      <c r="F173" t="s">
        <v>64</v>
      </c>
      <c r="G173" t="s">
        <v>24</v>
      </c>
      <c r="H173" t="s">
        <v>25</v>
      </c>
      <c r="I173">
        <v>7</v>
      </c>
      <c r="J173">
        <v>52765</v>
      </c>
      <c r="K173" t="s">
        <v>35</v>
      </c>
      <c r="L173">
        <v>9</v>
      </c>
      <c r="M173">
        <v>33</v>
      </c>
      <c r="N173">
        <v>4</v>
      </c>
      <c r="O173" t="s">
        <v>28</v>
      </c>
      <c r="P173" t="s">
        <v>27</v>
      </c>
      <c r="Q173">
        <v>2</v>
      </c>
      <c r="R173" t="s">
        <v>28</v>
      </c>
      <c r="S173" t="s">
        <v>27</v>
      </c>
      <c r="T173" t="b">
        <f t="shared" si="20"/>
        <v>0</v>
      </c>
      <c r="U173" t="str">
        <f t="shared" si="21"/>
        <v>Employee_0172</v>
      </c>
      <c r="V173" t="str">
        <f t="shared" si="22"/>
        <v>Male</v>
      </c>
      <c r="W173" t="str">
        <f t="shared" si="23"/>
        <v>Marketing</v>
      </c>
      <c r="X173" t="str">
        <f t="shared" si="24"/>
        <v>Hyderabad</v>
      </c>
      <c r="Y173" t="str">
        <f t="shared" si="25"/>
        <v>Valid</v>
      </c>
      <c r="Z173" t="str">
        <f t="shared" si="26"/>
        <v>Valid</v>
      </c>
      <c r="AA173" t="str">
        <f t="shared" si="27"/>
        <v>Valid</v>
      </c>
      <c r="AB173" s="9" t="str">
        <f t="shared" si="28"/>
        <v>Valid</v>
      </c>
      <c r="AC173" s="9" t="str">
        <f t="shared" si="29"/>
        <v>Valid</v>
      </c>
      <c r="AD173" s="9" t="str">
        <f>IF(AND(Y173="Valid",Z173="Valid",AA173="Valid",AB173="Valid",COUNTIF($A$2:A173,A173)=1),"Include","Exclude")</f>
        <v>Include</v>
      </c>
    </row>
    <row r="174" spans="1:30" x14ac:dyDescent="0.35">
      <c r="A174" t="s">
        <v>394</v>
      </c>
      <c r="B174" t="s">
        <v>395</v>
      </c>
      <c r="C174" t="s">
        <v>31</v>
      </c>
      <c r="D174">
        <v>40</v>
      </c>
      <c r="E174" t="s">
        <v>22</v>
      </c>
      <c r="F174" t="s">
        <v>60</v>
      </c>
      <c r="G174" t="s">
        <v>24</v>
      </c>
      <c r="H174" t="s">
        <v>25</v>
      </c>
      <c r="I174">
        <v>12</v>
      </c>
      <c r="J174">
        <v>65555</v>
      </c>
      <c r="K174" t="s">
        <v>45</v>
      </c>
      <c r="L174">
        <v>10</v>
      </c>
      <c r="M174">
        <v>31</v>
      </c>
      <c r="N174">
        <v>0</v>
      </c>
      <c r="O174" t="s">
        <v>27</v>
      </c>
      <c r="P174" t="s">
        <v>28</v>
      </c>
      <c r="Q174">
        <v>2</v>
      </c>
      <c r="R174" t="s">
        <v>27</v>
      </c>
      <c r="S174" t="s">
        <v>27</v>
      </c>
      <c r="T174" t="b">
        <f t="shared" si="20"/>
        <v>0</v>
      </c>
      <c r="U174" t="str">
        <f t="shared" si="21"/>
        <v>Employee_0173</v>
      </c>
      <c r="V174" t="str">
        <f t="shared" si="22"/>
        <v>Male</v>
      </c>
      <c r="W174" t="str">
        <f t="shared" si="23"/>
        <v>Hr</v>
      </c>
      <c r="X174" t="str">
        <f t="shared" si="24"/>
        <v>Hyderabad</v>
      </c>
      <c r="Y174" t="str">
        <f t="shared" si="25"/>
        <v>Valid</v>
      </c>
      <c r="Z174" t="str">
        <f t="shared" si="26"/>
        <v>Valid</v>
      </c>
      <c r="AA174" t="str">
        <f t="shared" si="27"/>
        <v>Valid</v>
      </c>
      <c r="AB174" s="9" t="str">
        <f t="shared" si="28"/>
        <v>Valid</v>
      </c>
      <c r="AC174" s="9" t="str">
        <f t="shared" si="29"/>
        <v>Valid</v>
      </c>
      <c r="AD174" s="9" t="str">
        <f>IF(AND(Y174="Valid",Z174="Valid",AA174="Valid",AB174="Valid",COUNTIF($A$2:A174,A174)=1),"Include","Exclude")</f>
        <v>Include</v>
      </c>
    </row>
    <row r="175" spans="1:30" x14ac:dyDescent="0.35">
      <c r="A175" t="s">
        <v>396</v>
      </c>
      <c r="B175" t="s">
        <v>397</v>
      </c>
      <c r="C175" t="s">
        <v>21</v>
      </c>
      <c r="D175">
        <v>36</v>
      </c>
      <c r="E175" t="s">
        <v>55</v>
      </c>
      <c r="F175" t="s">
        <v>48</v>
      </c>
      <c r="G175" t="s">
        <v>24</v>
      </c>
      <c r="H175" t="s">
        <v>61</v>
      </c>
      <c r="I175">
        <v>10</v>
      </c>
      <c r="J175">
        <v>48875</v>
      </c>
      <c r="K175" t="s">
        <v>45</v>
      </c>
      <c r="L175">
        <v>8</v>
      </c>
      <c r="M175">
        <v>28</v>
      </c>
      <c r="N175">
        <v>0</v>
      </c>
      <c r="O175" t="s">
        <v>28</v>
      </c>
      <c r="P175" t="s">
        <v>27</v>
      </c>
      <c r="Q175">
        <v>2</v>
      </c>
      <c r="R175" t="s">
        <v>27</v>
      </c>
      <c r="S175" t="s">
        <v>27</v>
      </c>
      <c r="T175" t="b">
        <f t="shared" si="20"/>
        <v>0</v>
      </c>
      <c r="U175" t="str">
        <f t="shared" si="21"/>
        <v>Employee_0174</v>
      </c>
      <c r="V175" t="str">
        <f t="shared" si="22"/>
        <v>Female</v>
      </c>
      <c r="W175" t="str">
        <f t="shared" si="23"/>
        <v>Customer Support</v>
      </c>
      <c r="X175" t="str">
        <f t="shared" si="24"/>
        <v>Noida</v>
      </c>
      <c r="Y175" t="str">
        <f t="shared" si="25"/>
        <v>Valid</v>
      </c>
      <c r="Z175" t="str">
        <f t="shared" si="26"/>
        <v>Valid</v>
      </c>
      <c r="AA175" t="str">
        <f t="shared" si="27"/>
        <v>Valid</v>
      </c>
      <c r="AB175" s="9" t="str">
        <f t="shared" si="28"/>
        <v>Valid</v>
      </c>
      <c r="AC175" s="9" t="str">
        <f t="shared" si="29"/>
        <v>Valid</v>
      </c>
      <c r="AD175" s="9" t="str">
        <f>IF(AND(Y175="Valid",Z175="Valid",AA175="Valid",AB175="Valid",COUNTIF($A$2:A175,A175)=1),"Include","Exclude")</f>
        <v>Include</v>
      </c>
    </row>
    <row r="176" spans="1:30" x14ac:dyDescent="0.35">
      <c r="A176" t="s">
        <v>398</v>
      </c>
      <c r="B176" t="s">
        <v>399</v>
      </c>
      <c r="C176" t="s">
        <v>21</v>
      </c>
      <c r="D176">
        <v>41</v>
      </c>
      <c r="E176" t="s">
        <v>38</v>
      </c>
      <c r="F176" t="s">
        <v>48</v>
      </c>
      <c r="G176" t="s">
        <v>24</v>
      </c>
      <c r="H176" t="s">
        <v>25</v>
      </c>
      <c r="I176">
        <v>17</v>
      </c>
      <c r="J176">
        <v>51990</v>
      </c>
      <c r="K176" t="s">
        <v>45</v>
      </c>
      <c r="L176">
        <v>6</v>
      </c>
      <c r="M176">
        <v>28</v>
      </c>
      <c r="N176">
        <v>5</v>
      </c>
      <c r="O176" t="s">
        <v>27</v>
      </c>
      <c r="P176" t="s">
        <v>28</v>
      </c>
      <c r="Q176">
        <v>2</v>
      </c>
      <c r="R176" t="s">
        <v>27</v>
      </c>
      <c r="S176" t="s">
        <v>27</v>
      </c>
      <c r="T176" t="b">
        <f t="shared" si="20"/>
        <v>0</v>
      </c>
      <c r="U176" t="str">
        <f t="shared" si="21"/>
        <v>Employee_0175</v>
      </c>
      <c r="V176" t="str">
        <f t="shared" si="22"/>
        <v>Female</v>
      </c>
      <c r="W176" t="str">
        <f t="shared" si="23"/>
        <v>Customer Support</v>
      </c>
      <c r="X176" t="str">
        <f t="shared" si="24"/>
        <v>Hyderabad</v>
      </c>
      <c r="Y176" t="str">
        <f t="shared" si="25"/>
        <v>Valid</v>
      </c>
      <c r="Z176" t="str">
        <f t="shared" si="26"/>
        <v>Valid</v>
      </c>
      <c r="AA176" t="str">
        <f t="shared" si="27"/>
        <v>Valid</v>
      </c>
      <c r="AB176" s="9" t="str">
        <f t="shared" si="28"/>
        <v>Valid</v>
      </c>
      <c r="AC176" s="9" t="str">
        <f t="shared" si="29"/>
        <v>Valid</v>
      </c>
      <c r="AD176" s="9" t="str">
        <f>IF(AND(Y176="Valid",Z176="Valid",AA176="Valid",AB176="Valid",COUNTIF($A$2:A176,A176)=1),"Include","Exclude")</f>
        <v>Include</v>
      </c>
    </row>
    <row r="177" spans="1:30" x14ac:dyDescent="0.35">
      <c r="A177" t="s">
        <v>400</v>
      </c>
      <c r="B177" t="s">
        <v>401</v>
      </c>
      <c r="C177" t="s">
        <v>31</v>
      </c>
      <c r="D177">
        <v>40</v>
      </c>
      <c r="E177" t="s">
        <v>38</v>
      </c>
      <c r="F177" t="s">
        <v>64</v>
      </c>
      <c r="G177" t="s">
        <v>24</v>
      </c>
      <c r="H177" t="s">
        <v>25</v>
      </c>
      <c r="I177">
        <v>15</v>
      </c>
      <c r="J177">
        <v>59858</v>
      </c>
      <c r="K177" t="s">
        <v>45</v>
      </c>
      <c r="L177">
        <v>1</v>
      </c>
      <c r="M177">
        <v>30</v>
      </c>
      <c r="N177">
        <v>4</v>
      </c>
      <c r="O177" t="s">
        <v>28</v>
      </c>
      <c r="P177" t="s">
        <v>27</v>
      </c>
      <c r="Q177">
        <v>4</v>
      </c>
      <c r="R177" t="s">
        <v>28</v>
      </c>
      <c r="S177" t="s">
        <v>27</v>
      </c>
      <c r="T177" t="b">
        <f t="shared" si="20"/>
        <v>1</v>
      </c>
      <c r="U177" t="str">
        <f t="shared" si="21"/>
        <v>Employee_0176</v>
      </c>
      <c r="V177" t="str">
        <f t="shared" si="22"/>
        <v>Male</v>
      </c>
      <c r="W177" t="str">
        <f t="shared" si="23"/>
        <v>Marketing</v>
      </c>
      <c r="X177" t="str">
        <f t="shared" si="24"/>
        <v>Hyderabad</v>
      </c>
      <c r="Y177" t="str">
        <f t="shared" si="25"/>
        <v>Valid</v>
      </c>
      <c r="Z177" t="str">
        <f t="shared" si="26"/>
        <v>Valid</v>
      </c>
      <c r="AA177" t="str">
        <f t="shared" si="27"/>
        <v>Valid</v>
      </c>
      <c r="AB177" s="9" t="str">
        <f t="shared" si="28"/>
        <v>Valid</v>
      </c>
      <c r="AC177" s="9" t="str">
        <f t="shared" si="29"/>
        <v>Check</v>
      </c>
      <c r="AD177" s="9" t="str">
        <f>IF(AND(Y177="Valid",Z177="Valid",AA177="Valid",AB177="Valid",COUNTIF($A$2:A177,A177)=1),"Include","Exclude")</f>
        <v>Include</v>
      </c>
    </row>
    <row r="178" spans="1:30" x14ac:dyDescent="0.35">
      <c r="A178" t="s">
        <v>402</v>
      </c>
      <c r="B178" t="s">
        <v>403</v>
      </c>
      <c r="C178" t="s">
        <v>21</v>
      </c>
      <c r="D178">
        <v>38</v>
      </c>
      <c r="E178" t="s">
        <v>55</v>
      </c>
      <c r="F178" t="s">
        <v>43</v>
      </c>
      <c r="G178" t="s">
        <v>24</v>
      </c>
      <c r="H178" t="s">
        <v>61</v>
      </c>
      <c r="I178">
        <v>10</v>
      </c>
      <c r="J178">
        <v>61146</v>
      </c>
      <c r="K178" t="s">
        <v>26</v>
      </c>
      <c r="L178">
        <v>8</v>
      </c>
      <c r="M178">
        <v>41</v>
      </c>
      <c r="N178">
        <v>4</v>
      </c>
      <c r="O178" t="s">
        <v>28</v>
      </c>
      <c r="P178" t="s">
        <v>28</v>
      </c>
      <c r="Q178">
        <v>2</v>
      </c>
      <c r="R178" t="s">
        <v>27</v>
      </c>
      <c r="S178" t="s">
        <v>27</v>
      </c>
      <c r="T178" t="b">
        <f t="shared" si="20"/>
        <v>0</v>
      </c>
      <c r="U178" t="str">
        <f t="shared" si="21"/>
        <v>Employee_0177</v>
      </c>
      <c r="V178" t="str">
        <f t="shared" si="22"/>
        <v>Female</v>
      </c>
      <c r="W178" t="str">
        <f t="shared" si="23"/>
        <v>It</v>
      </c>
      <c r="X178" t="str">
        <f t="shared" si="24"/>
        <v>Noida</v>
      </c>
      <c r="Y178" t="str">
        <f t="shared" si="25"/>
        <v>Valid</v>
      </c>
      <c r="Z178" t="str">
        <f t="shared" si="26"/>
        <v>Valid</v>
      </c>
      <c r="AA178" t="str">
        <f t="shared" si="27"/>
        <v>Valid</v>
      </c>
      <c r="AB178" s="9" t="str">
        <f t="shared" si="28"/>
        <v>Valid</v>
      </c>
      <c r="AC178" s="9" t="str">
        <f t="shared" si="29"/>
        <v>Valid</v>
      </c>
      <c r="AD178" s="9" t="str">
        <f>IF(AND(Y178="Valid",Z178="Valid",AA178="Valid",AB178="Valid",COUNTIF($A$2:A178,A178)=1),"Include","Exclude")</f>
        <v>Include</v>
      </c>
    </row>
    <row r="179" spans="1:30" x14ac:dyDescent="0.35">
      <c r="A179" t="s">
        <v>404</v>
      </c>
      <c r="B179" t="s">
        <v>405</v>
      </c>
      <c r="C179" t="s">
        <v>21</v>
      </c>
      <c r="D179">
        <v>47</v>
      </c>
      <c r="E179" t="s">
        <v>55</v>
      </c>
      <c r="F179" t="s">
        <v>33</v>
      </c>
      <c r="G179" t="s">
        <v>24</v>
      </c>
      <c r="H179" t="s">
        <v>131</v>
      </c>
      <c r="I179">
        <v>18</v>
      </c>
      <c r="J179">
        <v>59329</v>
      </c>
      <c r="K179" t="s">
        <v>26</v>
      </c>
      <c r="L179">
        <v>7</v>
      </c>
      <c r="M179">
        <v>5</v>
      </c>
      <c r="N179">
        <v>3</v>
      </c>
      <c r="O179" t="s">
        <v>28</v>
      </c>
      <c r="P179" t="s">
        <v>28</v>
      </c>
      <c r="Q179">
        <v>2</v>
      </c>
      <c r="R179" t="s">
        <v>27</v>
      </c>
      <c r="S179" t="s">
        <v>27</v>
      </c>
      <c r="T179" t="b">
        <f t="shared" si="20"/>
        <v>0</v>
      </c>
      <c r="U179" t="str">
        <f t="shared" si="21"/>
        <v>Employee_0178</v>
      </c>
      <c r="V179" t="str">
        <f t="shared" si="22"/>
        <v>Female</v>
      </c>
      <c r="W179" t="str">
        <f t="shared" si="23"/>
        <v>Sales</v>
      </c>
      <c r="X179" t="str">
        <f t="shared" si="24"/>
        <v>Pune</v>
      </c>
      <c r="Y179" t="str">
        <f t="shared" si="25"/>
        <v>Valid</v>
      </c>
      <c r="Z179" t="str">
        <f t="shared" si="26"/>
        <v>Valid</v>
      </c>
      <c r="AA179" t="str">
        <f t="shared" si="27"/>
        <v>Valid</v>
      </c>
      <c r="AB179" s="9" t="str">
        <f t="shared" si="28"/>
        <v>Valid</v>
      </c>
      <c r="AC179" s="9" t="str">
        <f t="shared" si="29"/>
        <v>Valid</v>
      </c>
      <c r="AD179" s="9" t="str">
        <f>IF(AND(Y179="Valid",Z179="Valid",AA179="Valid",AB179="Valid",COUNTIF($A$2:A179,A179)=1),"Include","Exclude")</f>
        <v>Include</v>
      </c>
    </row>
    <row r="180" spans="1:30" x14ac:dyDescent="0.35">
      <c r="A180" t="s">
        <v>406</v>
      </c>
      <c r="B180" t="s">
        <v>407</v>
      </c>
      <c r="C180" t="s">
        <v>31</v>
      </c>
      <c r="D180">
        <v>21</v>
      </c>
      <c r="E180" t="s">
        <v>38</v>
      </c>
      <c r="F180" t="s">
        <v>33</v>
      </c>
      <c r="G180" t="s">
        <v>69</v>
      </c>
      <c r="H180" t="s">
        <v>49</v>
      </c>
      <c r="I180">
        <v>0</v>
      </c>
      <c r="J180">
        <v>57532</v>
      </c>
      <c r="K180" t="s">
        <v>45</v>
      </c>
      <c r="L180">
        <v>10</v>
      </c>
      <c r="M180">
        <v>32</v>
      </c>
      <c r="N180">
        <v>7</v>
      </c>
      <c r="O180" t="s">
        <v>27</v>
      </c>
      <c r="P180" t="s">
        <v>28</v>
      </c>
      <c r="Q180">
        <v>5</v>
      </c>
      <c r="R180" t="s">
        <v>27</v>
      </c>
      <c r="S180" t="s">
        <v>27</v>
      </c>
      <c r="T180" t="b">
        <f t="shared" si="20"/>
        <v>0</v>
      </c>
      <c r="U180" t="str">
        <f t="shared" si="21"/>
        <v>Employee_0179</v>
      </c>
      <c r="V180" t="str">
        <f t="shared" si="22"/>
        <v>Male</v>
      </c>
      <c r="W180" t="str">
        <f t="shared" si="23"/>
        <v>Sales</v>
      </c>
      <c r="X180" t="str">
        <f t="shared" si="24"/>
        <v>Delhi</v>
      </c>
      <c r="Y180" t="str">
        <f t="shared" si="25"/>
        <v>Valid</v>
      </c>
      <c r="Z180" t="str">
        <f t="shared" si="26"/>
        <v>Valid</v>
      </c>
      <c r="AA180" t="str">
        <f t="shared" si="27"/>
        <v>Valid</v>
      </c>
      <c r="AB180" s="9" t="str">
        <f t="shared" si="28"/>
        <v>Valid</v>
      </c>
      <c r="AC180" s="9" t="str">
        <f t="shared" si="29"/>
        <v>Valid</v>
      </c>
      <c r="AD180" s="9" t="str">
        <f>IF(AND(Y180="Valid",Z180="Valid",AA180="Valid",AB180="Valid",COUNTIF($A$2:A180,A180)=1),"Include","Exclude")</f>
        <v>Include</v>
      </c>
    </row>
    <row r="181" spans="1:30" x14ac:dyDescent="0.35">
      <c r="A181" t="s">
        <v>408</v>
      </c>
      <c r="B181" t="s">
        <v>409</v>
      </c>
      <c r="C181" t="s">
        <v>21</v>
      </c>
      <c r="D181">
        <v>38</v>
      </c>
      <c r="E181" t="s">
        <v>55</v>
      </c>
      <c r="F181" t="s">
        <v>43</v>
      </c>
      <c r="G181" t="s">
        <v>24</v>
      </c>
      <c r="H181" t="s">
        <v>52</v>
      </c>
      <c r="I181">
        <v>9</v>
      </c>
      <c r="J181">
        <v>68801</v>
      </c>
      <c r="K181" t="s">
        <v>26</v>
      </c>
      <c r="L181">
        <v>2</v>
      </c>
      <c r="M181">
        <v>22</v>
      </c>
      <c r="N181">
        <v>5</v>
      </c>
      <c r="O181" t="s">
        <v>28</v>
      </c>
      <c r="P181" t="s">
        <v>28</v>
      </c>
      <c r="Q181">
        <v>1</v>
      </c>
      <c r="R181" t="s">
        <v>27</v>
      </c>
      <c r="S181" t="s">
        <v>28</v>
      </c>
      <c r="T181" t="b">
        <f t="shared" si="20"/>
        <v>0</v>
      </c>
      <c r="U181" t="str">
        <f t="shared" si="21"/>
        <v>Employee_0180</v>
      </c>
      <c r="V181" t="str">
        <f t="shared" si="22"/>
        <v>Female</v>
      </c>
      <c r="W181" t="str">
        <f t="shared" si="23"/>
        <v>It</v>
      </c>
      <c r="X181" t="str">
        <f t="shared" si="24"/>
        <v>Mumbai</v>
      </c>
      <c r="Y181" t="str">
        <f t="shared" si="25"/>
        <v>Valid</v>
      </c>
      <c r="Z181" t="str">
        <f t="shared" si="26"/>
        <v>Valid</v>
      </c>
      <c r="AA181" t="str">
        <f t="shared" si="27"/>
        <v>Valid</v>
      </c>
      <c r="AB181" s="9" t="str">
        <f t="shared" si="28"/>
        <v>Valid</v>
      </c>
      <c r="AC181" s="9" t="str">
        <f t="shared" si="29"/>
        <v>Valid</v>
      </c>
      <c r="AD181" s="9" t="str">
        <f>IF(AND(Y181="Valid",Z181="Valid",AA181="Valid",AB181="Valid",COUNTIF($A$2:A181,A181)=1),"Include","Exclude")</f>
        <v>Include</v>
      </c>
    </row>
    <row r="182" spans="1:30" x14ac:dyDescent="0.35">
      <c r="A182" t="s">
        <v>410</v>
      </c>
      <c r="B182" t="s">
        <v>411</v>
      </c>
      <c r="C182" t="s">
        <v>31</v>
      </c>
      <c r="D182">
        <v>45</v>
      </c>
      <c r="E182" t="s">
        <v>55</v>
      </c>
      <c r="F182" t="s">
        <v>23</v>
      </c>
      <c r="G182" t="s">
        <v>69</v>
      </c>
      <c r="H182" t="s">
        <v>61</v>
      </c>
      <c r="I182">
        <v>11</v>
      </c>
      <c r="J182">
        <v>60106</v>
      </c>
      <c r="K182" t="s">
        <v>35</v>
      </c>
      <c r="L182">
        <v>4</v>
      </c>
      <c r="M182">
        <v>24</v>
      </c>
      <c r="N182">
        <v>6</v>
      </c>
      <c r="O182" t="s">
        <v>27</v>
      </c>
      <c r="P182" t="s">
        <v>27</v>
      </c>
      <c r="Q182">
        <v>4</v>
      </c>
      <c r="R182" t="s">
        <v>28</v>
      </c>
      <c r="S182" t="s">
        <v>27</v>
      </c>
      <c r="T182" t="b">
        <f t="shared" si="20"/>
        <v>0</v>
      </c>
      <c r="U182" t="str">
        <f t="shared" si="21"/>
        <v>Employee_0181</v>
      </c>
      <c r="V182" t="str">
        <f t="shared" si="22"/>
        <v>Male</v>
      </c>
      <c r="W182" t="str">
        <f t="shared" si="23"/>
        <v>Finance</v>
      </c>
      <c r="X182" t="str">
        <f t="shared" si="24"/>
        <v>Noida</v>
      </c>
      <c r="Y182" t="str">
        <f t="shared" si="25"/>
        <v>Valid</v>
      </c>
      <c r="Z182" t="str">
        <f t="shared" si="26"/>
        <v>Valid</v>
      </c>
      <c r="AA182" t="str">
        <f t="shared" si="27"/>
        <v>Valid</v>
      </c>
      <c r="AB182" s="9" t="str">
        <f t="shared" si="28"/>
        <v>Valid</v>
      </c>
      <c r="AC182" s="9" t="str">
        <f t="shared" si="29"/>
        <v>Valid</v>
      </c>
      <c r="AD182" s="9" t="str">
        <f>IF(AND(Y182="Valid",Z182="Valid",AA182="Valid",AB182="Valid",COUNTIF($A$2:A182,A182)=1),"Include","Exclude")</f>
        <v>Include</v>
      </c>
    </row>
    <row r="183" spans="1:30" x14ac:dyDescent="0.35">
      <c r="A183" t="s">
        <v>412</v>
      </c>
      <c r="B183" t="s">
        <v>413</v>
      </c>
      <c r="C183" t="s">
        <v>21</v>
      </c>
      <c r="D183">
        <v>22</v>
      </c>
      <c r="E183" t="s">
        <v>38</v>
      </c>
      <c r="F183" t="s">
        <v>48</v>
      </c>
      <c r="G183" t="s">
        <v>44</v>
      </c>
      <c r="H183" t="s">
        <v>49</v>
      </c>
      <c r="I183">
        <v>1</v>
      </c>
      <c r="J183">
        <v>50666</v>
      </c>
      <c r="K183" t="s">
        <v>35</v>
      </c>
      <c r="L183">
        <v>9</v>
      </c>
      <c r="M183">
        <v>32</v>
      </c>
      <c r="N183">
        <v>3</v>
      </c>
      <c r="O183" t="s">
        <v>27</v>
      </c>
      <c r="P183" t="s">
        <v>27</v>
      </c>
      <c r="Q183">
        <v>2</v>
      </c>
      <c r="R183" t="s">
        <v>27</v>
      </c>
      <c r="S183" t="s">
        <v>27</v>
      </c>
      <c r="T183" t="b">
        <f t="shared" si="20"/>
        <v>0</v>
      </c>
      <c r="U183" t="str">
        <f t="shared" si="21"/>
        <v>Employee_0182</v>
      </c>
      <c r="V183" t="str">
        <f t="shared" si="22"/>
        <v>Female</v>
      </c>
      <c r="W183" t="str">
        <f t="shared" si="23"/>
        <v>Customer Support</v>
      </c>
      <c r="X183" t="str">
        <f t="shared" si="24"/>
        <v>Delhi</v>
      </c>
      <c r="Y183" t="str">
        <f t="shared" si="25"/>
        <v>Valid</v>
      </c>
      <c r="Z183" t="str">
        <f t="shared" si="26"/>
        <v>Valid</v>
      </c>
      <c r="AA183" t="str">
        <f t="shared" si="27"/>
        <v>Valid</v>
      </c>
      <c r="AB183" s="9" t="str">
        <f t="shared" si="28"/>
        <v>Valid</v>
      </c>
      <c r="AC183" s="9" t="str">
        <f t="shared" si="29"/>
        <v>Valid</v>
      </c>
      <c r="AD183" s="9" t="str">
        <f>IF(AND(Y183="Valid",Z183="Valid",AA183="Valid",AB183="Valid",COUNTIF($A$2:A183,A183)=1),"Include","Exclude")</f>
        <v>Include</v>
      </c>
    </row>
    <row r="184" spans="1:30" x14ac:dyDescent="0.35">
      <c r="A184" t="s">
        <v>414</v>
      </c>
      <c r="B184" t="s">
        <v>415</v>
      </c>
      <c r="C184" t="s">
        <v>21</v>
      </c>
      <c r="D184">
        <v>21</v>
      </c>
      <c r="E184" t="s">
        <v>22</v>
      </c>
      <c r="F184" t="s">
        <v>33</v>
      </c>
      <c r="G184" t="s">
        <v>24</v>
      </c>
      <c r="H184" t="s">
        <v>61</v>
      </c>
      <c r="I184">
        <v>0</v>
      </c>
      <c r="J184">
        <v>37388</v>
      </c>
      <c r="K184" t="s">
        <v>45</v>
      </c>
      <c r="L184">
        <v>4</v>
      </c>
      <c r="M184">
        <v>34</v>
      </c>
      <c r="N184">
        <v>2</v>
      </c>
      <c r="O184" t="s">
        <v>27</v>
      </c>
      <c r="P184" t="s">
        <v>28</v>
      </c>
      <c r="Q184">
        <v>5</v>
      </c>
      <c r="R184" t="s">
        <v>27</v>
      </c>
      <c r="S184" t="s">
        <v>27</v>
      </c>
      <c r="T184" t="b">
        <f t="shared" si="20"/>
        <v>0</v>
      </c>
      <c r="U184" t="str">
        <f t="shared" si="21"/>
        <v>Employee_0183</v>
      </c>
      <c r="V184" t="str">
        <f t="shared" si="22"/>
        <v>Female</v>
      </c>
      <c r="W184" t="str">
        <f t="shared" si="23"/>
        <v>Sales</v>
      </c>
      <c r="X184" t="str">
        <f t="shared" si="24"/>
        <v>Noida</v>
      </c>
      <c r="Y184" t="str">
        <f t="shared" si="25"/>
        <v>Valid</v>
      </c>
      <c r="Z184" t="str">
        <f t="shared" si="26"/>
        <v>Valid</v>
      </c>
      <c r="AA184" t="str">
        <f t="shared" si="27"/>
        <v>Valid</v>
      </c>
      <c r="AB184" s="9" t="str">
        <f t="shared" si="28"/>
        <v>Valid</v>
      </c>
      <c r="AC184" s="9" t="str">
        <f t="shared" si="29"/>
        <v>Valid</v>
      </c>
      <c r="AD184" s="9" t="str">
        <f>IF(AND(Y184="Valid",Z184="Valid",AA184="Valid",AB184="Valid",COUNTIF($A$2:A184,A184)=1),"Include","Exclude")</f>
        <v>Include</v>
      </c>
    </row>
    <row r="185" spans="1:30" x14ac:dyDescent="0.35">
      <c r="A185" t="s">
        <v>416</v>
      </c>
      <c r="B185" t="s">
        <v>417</v>
      </c>
      <c r="C185" t="s">
        <v>21</v>
      </c>
      <c r="D185">
        <v>38</v>
      </c>
      <c r="E185" t="s">
        <v>55</v>
      </c>
      <c r="F185" t="s">
        <v>48</v>
      </c>
      <c r="G185" t="s">
        <v>24</v>
      </c>
      <c r="H185" t="s">
        <v>52</v>
      </c>
      <c r="I185">
        <v>9</v>
      </c>
      <c r="J185">
        <v>43264</v>
      </c>
      <c r="K185" t="s">
        <v>45</v>
      </c>
      <c r="L185">
        <v>6</v>
      </c>
      <c r="M185">
        <v>5</v>
      </c>
      <c r="N185">
        <v>6</v>
      </c>
      <c r="O185" t="s">
        <v>28</v>
      </c>
      <c r="P185" t="s">
        <v>28</v>
      </c>
      <c r="Q185">
        <v>4</v>
      </c>
      <c r="R185" t="s">
        <v>28</v>
      </c>
      <c r="S185" t="s">
        <v>27</v>
      </c>
      <c r="T185" t="b">
        <f t="shared" si="20"/>
        <v>0</v>
      </c>
      <c r="U185" t="str">
        <f t="shared" si="21"/>
        <v>Employee_0184</v>
      </c>
      <c r="V185" t="str">
        <f t="shared" si="22"/>
        <v>Female</v>
      </c>
      <c r="W185" t="str">
        <f t="shared" si="23"/>
        <v>Customer Support</v>
      </c>
      <c r="X185" t="str">
        <f t="shared" si="24"/>
        <v>Mumbai</v>
      </c>
      <c r="Y185" t="str">
        <f t="shared" si="25"/>
        <v>Valid</v>
      </c>
      <c r="Z185" t="str">
        <f t="shared" si="26"/>
        <v>Valid</v>
      </c>
      <c r="AA185" t="str">
        <f t="shared" si="27"/>
        <v>Valid</v>
      </c>
      <c r="AB185" s="9" t="str">
        <f t="shared" si="28"/>
        <v>Valid</v>
      </c>
      <c r="AC185" s="9" t="str">
        <f t="shared" si="29"/>
        <v>Valid</v>
      </c>
      <c r="AD185" s="9" t="str">
        <f>IF(AND(Y185="Valid",Z185="Valid",AA185="Valid",AB185="Valid",COUNTIF($A$2:A185,A185)=1),"Include","Exclude")</f>
        <v>Include</v>
      </c>
    </row>
    <row r="186" spans="1:30" x14ac:dyDescent="0.35">
      <c r="A186" t="s">
        <v>418</v>
      </c>
      <c r="B186" t="s">
        <v>419</v>
      </c>
      <c r="C186" t="s">
        <v>31</v>
      </c>
      <c r="D186">
        <v>43</v>
      </c>
      <c r="E186" t="s">
        <v>55</v>
      </c>
      <c r="F186" t="s">
        <v>23</v>
      </c>
      <c r="G186" t="s">
        <v>24</v>
      </c>
      <c r="H186" t="s">
        <v>52</v>
      </c>
      <c r="I186">
        <v>17</v>
      </c>
      <c r="J186">
        <v>81241</v>
      </c>
      <c r="K186" t="s">
        <v>35</v>
      </c>
      <c r="L186">
        <v>6</v>
      </c>
      <c r="M186">
        <v>19</v>
      </c>
      <c r="N186">
        <v>5</v>
      </c>
      <c r="O186" t="s">
        <v>28</v>
      </c>
      <c r="P186" t="s">
        <v>27</v>
      </c>
      <c r="Q186">
        <v>1</v>
      </c>
      <c r="R186" t="s">
        <v>27</v>
      </c>
      <c r="S186" t="s">
        <v>27</v>
      </c>
      <c r="T186" t="b">
        <f t="shared" si="20"/>
        <v>0</v>
      </c>
      <c r="U186" t="str">
        <f t="shared" si="21"/>
        <v>Employee_0185</v>
      </c>
      <c r="V186" t="str">
        <f t="shared" si="22"/>
        <v>Male</v>
      </c>
      <c r="W186" t="str">
        <f t="shared" si="23"/>
        <v>Finance</v>
      </c>
      <c r="X186" t="str">
        <f t="shared" si="24"/>
        <v>Mumbai</v>
      </c>
      <c r="Y186" t="str">
        <f t="shared" si="25"/>
        <v>Valid</v>
      </c>
      <c r="Z186" t="str">
        <f t="shared" si="26"/>
        <v>Valid</v>
      </c>
      <c r="AA186" t="str">
        <f t="shared" si="27"/>
        <v>Valid</v>
      </c>
      <c r="AB186" s="9" t="str">
        <f t="shared" si="28"/>
        <v>Valid</v>
      </c>
      <c r="AC186" s="9" t="str">
        <f t="shared" si="29"/>
        <v>Valid</v>
      </c>
      <c r="AD186" s="9" t="str">
        <f>IF(AND(Y186="Valid",Z186="Valid",AA186="Valid",AB186="Valid",COUNTIF($A$2:A186,A186)=1),"Include","Exclude")</f>
        <v>Include</v>
      </c>
    </row>
    <row r="187" spans="1:30" x14ac:dyDescent="0.35">
      <c r="A187" t="s">
        <v>420</v>
      </c>
      <c r="B187" t="s">
        <v>421</v>
      </c>
      <c r="C187" t="s">
        <v>21</v>
      </c>
      <c r="D187">
        <v>28</v>
      </c>
      <c r="E187" t="s">
        <v>38</v>
      </c>
      <c r="F187" t="s">
        <v>23</v>
      </c>
      <c r="G187" t="s">
        <v>24</v>
      </c>
      <c r="H187" t="s">
        <v>52</v>
      </c>
      <c r="I187">
        <v>5</v>
      </c>
      <c r="J187">
        <v>82000</v>
      </c>
      <c r="K187" t="s">
        <v>45</v>
      </c>
      <c r="L187">
        <v>8</v>
      </c>
      <c r="M187">
        <v>9</v>
      </c>
      <c r="N187">
        <v>5</v>
      </c>
      <c r="O187" t="s">
        <v>28</v>
      </c>
      <c r="P187" t="s">
        <v>28</v>
      </c>
      <c r="Q187">
        <v>2</v>
      </c>
      <c r="R187" t="s">
        <v>27</v>
      </c>
      <c r="S187" t="s">
        <v>28</v>
      </c>
      <c r="T187" t="b">
        <f t="shared" si="20"/>
        <v>0</v>
      </c>
      <c r="U187" t="str">
        <f t="shared" si="21"/>
        <v>Employee_0186</v>
      </c>
      <c r="V187" t="str">
        <f t="shared" si="22"/>
        <v>Female</v>
      </c>
      <c r="W187" t="str">
        <f t="shared" si="23"/>
        <v>Finance</v>
      </c>
      <c r="X187" t="str">
        <f t="shared" si="24"/>
        <v>Mumbai</v>
      </c>
      <c r="Y187" t="str">
        <f t="shared" si="25"/>
        <v>Valid</v>
      </c>
      <c r="Z187" t="str">
        <f t="shared" si="26"/>
        <v>Valid</v>
      </c>
      <c r="AA187" t="str">
        <f t="shared" si="27"/>
        <v>Valid</v>
      </c>
      <c r="AB187" s="9" t="str">
        <f t="shared" si="28"/>
        <v>Valid</v>
      </c>
      <c r="AC187" s="9" t="str">
        <f t="shared" si="29"/>
        <v>Valid</v>
      </c>
      <c r="AD187" s="9" t="str">
        <f>IF(AND(Y187="Valid",Z187="Valid",AA187="Valid",AB187="Valid",COUNTIF($A$2:A187,A187)=1),"Include","Exclude")</f>
        <v>Include</v>
      </c>
    </row>
    <row r="188" spans="1:30" x14ac:dyDescent="0.35">
      <c r="A188" t="s">
        <v>422</v>
      </c>
      <c r="B188" t="s">
        <v>423</v>
      </c>
      <c r="C188" t="s">
        <v>31</v>
      </c>
      <c r="D188">
        <v>33</v>
      </c>
      <c r="E188" t="s">
        <v>22</v>
      </c>
      <c r="F188" t="s">
        <v>64</v>
      </c>
      <c r="G188" t="s">
        <v>24</v>
      </c>
      <c r="H188" t="s">
        <v>52</v>
      </c>
      <c r="I188">
        <v>9</v>
      </c>
      <c r="J188">
        <v>56126</v>
      </c>
      <c r="K188" t="s">
        <v>35</v>
      </c>
      <c r="L188">
        <v>6</v>
      </c>
      <c r="M188">
        <v>20</v>
      </c>
      <c r="N188">
        <v>3</v>
      </c>
      <c r="O188" t="s">
        <v>27</v>
      </c>
      <c r="P188" t="s">
        <v>27</v>
      </c>
      <c r="Q188">
        <v>3</v>
      </c>
      <c r="R188" t="s">
        <v>28</v>
      </c>
      <c r="S188" t="s">
        <v>27</v>
      </c>
      <c r="T188" t="b">
        <f t="shared" si="20"/>
        <v>0</v>
      </c>
      <c r="U188" t="str">
        <f t="shared" si="21"/>
        <v>Employee_0187</v>
      </c>
      <c r="V188" t="str">
        <f t="shared" si="22"/>
        <v>Male</v>
      </c>
      <c r="W188" t="str">
        <f t="shared" si="23"/>
        <v>Marketing</v>
      </c>
      <c r="X188" t="str">
        <f t="shared" si="24"/>
        <v>Mumbai</v>
      </c>
      <c r="Y188" t="str">
        <f t="shared" si="25"/>
        <v>Valid</v>
      </c>
      <c r="Z188" t="str">
        <f t="shared" si="26"/>
        <v>Valid</v>
      </c>
      <c r="AA188" t="str">
        <f t="shared" si="27"/>
        <v>Valid</v>
      </c>
      <c r="AB188" s="9" t="str">
        <f t="shared" si="28"/>
        <v>Valid</v>
      </c>
      <c r="AC188" s="9" t="str">
        <f t="shared" si="29"/>
        <v>Valid</v>
      </c>
      <c r="AD188" s="9" t="str">
        <f>IF(AND(Y188="Valid",Z188="Valid",AA188="Valid",AB188="Valid",COUNTIF($A$2:A188,A188)=1),"Include","Exclude")</f>
        <v>Include</v>
      </c>
    </row>
    <row r="189" spans="1:30" x14ac:dyDescent="0.35">
      <c r="A189" t="s">
        <v>424</v>
      </c>
      <c r="B189" t="s">
        <v>425</v>
      </c>
      <c r="C189" t="s">
        <v>31</v>
      </c>
      <c r="D189">
        <v>22</v>
      </c>
      <c r="E189" t="s">
        <v>55</v>
      </c>
      <c r="F189" t="s">
        <v>43</v>
      </c>
      <c r="G189" t="s">
        <v>24</v>
      </c>
      <c r="H189" t="s">
        <v>52</v>
      </c>
      <c r="I189">
        <v>1</v>
      </c>
      <c r="J189">
        <v>66751</v>
      </c>
      <c r="K189" t="s">
        <v>45</v>
      </c>
      <c r="L189">
        <v>7</v>
      </c>
      <c r="M189">
        <v>29</v>
      </c>
      <c r="N189">
        <v>4</v>
      </c>
      <c r="O189" t="s">
        <v>28</v>
      </c>
      <c r="P189" t="s">
        <v>28</v>
      </c>
      <c r="Q189">
        <v>2</v>
      </c>
      <c r="R189" t="s">
        <v>27</v>
      </c>
      <c r="S189" t="s">
        <v>27</v>
      </c>
      <c r="T189" t="b">
        <f t="shared" si="20"/>
        <v>0</v>
      </c>
      <c r="U189" t="str">
        <f t="shared" si="21"/>
        <v>Employee_0188</v>
      </c>
      <c r="V189" t="str">
        <f t="shared" si="22"/>
        <v>Male</v>
      </c>
      <c r="W189" t="str">
        <f t="shared" si="23"/>
        <v>It</v>
      </c>
      <c r="X189" t="str">
        <f t="shared" si="24"/>
        <v>Mumbai</v>
      </c>
      <c r="Y189" t="str">
        <f t="shared" si="25"/>
        <v>Valid</v>
      </c>
      <c r="Z189" t="str">
        <f t="shared" si="26"/>
        <v>Valid</v>
      </c>
      <c r="AA189" t="str">
        <f t="shared" si="27"/>
        <v>Valid</v>
      </c>
      <c r="AB189" s="9" t="str">
        <f t="shared" si="28"/>
        <v>Valid</v>
      </c>
      <c r="AC189" s="9" t="str">
        <f t="shared" si="29"/>
        <v>Valid</v>
      </c>
      <c r="AD189" s="9" t="str">
        <f>IF(AND(Y189="Valid",Z189="Valid",AA189="Valid",AB189="Valid",COUNTIF($A$2:A189,A189)=1),"Include","Exclude")</f>
        <v>Include</v>
      </c>
    </row>
    <row r="190" spans="1:30" x14ac:dyDescent="0.35">
      <c r="A190" t="s">
        <v>426</v>
      </c>
      <c r="B190" t="s">
        <v>427</v>
      </c>
      <c r="C190" t="s">
        <v>31</v>
      </c>
      <c r="D190">
        <v>49</v>
      </c>
      <c r="E190" t="s">
        <v>55</v>
      </c>
      <c r="F190" t="s">
        <v>39</v>
      </c>
      <c r="G190" t="s">
        <v>24</v>
      </c>
      <c r="H190" t="s">
        <v>25</v>
      </c>
      <c r="I190">
        <v>10</v>
      </c>
      <c r="J190">
        <v>57869</v>
      </c>
      <c r="K190" t="s">
        <v>45</v>
      </c>
      <c r="L190">
        <v>1</v>
      </c>
      <c r="M190">
        <v>33</v>
      </c>
      <c r="N190">
        <v>3</v>
      </c>
      <c r="O190" t="s">
        <v>28</v>
      </c>
      <c r="P190" t="s">
        <v>28</v>
      </c>
      <c r="Q190">
        <v>2</v>
      </c>
      <c r="R190" t="s">
        <v>28</v>
      </c>
      <c r="S190" t="s">
        <v>28</v>
      </c>
      <c r="T190" t="b">
        <f t="shared" si="20"/>
        <v>0</v>
      </c>
      <c r="U190" t="str">
        <f t="shared" si="21"/>
        <v>Employee_0189</v>
      </c>
      <c r="V190" t="str">
        <f t="shared" si="22"/>
        <v>Male</v>
      </c>
      <c r="W190" t="str">
        <f t="shared" si="23"/>
        <v>Operations</v>
      </c>
      <c r="X190" t="str">
        <f t="shared" si="24"/>
        <v>Hyderabad</v>
      </c>
      <c r="Y190" t="str">
        <f t="shared" si="25"/>
        <v>Valid</v>
      </c>
      <c r="Z190" t="str">
        <f t="shared" si="26"/>
        <v>Valid</v>
      </c>
      <c r="AA190" t="str">
        <f t="shared" si="27"/>
        <v>Valid</v>
      </c>
      <c r="AB190" s="9" t="str">
        <f t="shared" si="28"/>
        <v>Valid</v>
      </c>
      <c r="AC190" s="9" t="str">
        <f t="shared" si="29"/>
        <v>Valid</v>
      </c>
      <c r="AD190" s="9" t="str">
        <f>IF(AND(Y190="Valid",Z190="Valid",AA190="Valid",AB190="Valid",COUNTIF($A$2:A190,A190)=1),"Include","Exclude")</f>
        <v>Include</v>
      </c>
    </row>
    <row r="191" spans="1:30" x14ac:dyDescent="0.35">
      <c r="A191" t="s">
        <v>428</v>
      </c>
      <c r="B191" t="s">
        <v>429</v>
      </c>
      <c r="C191" t="s">
        <v>31</v>
      </c>
      <c r="D191">
        <v>45</v>
      </c>
      <c r="E191" t="s">
        <v>55</v>
      </c>
      <c r="F191" t="s">
        <v>39</v>
      </c>
      <c r="G191" t="s">
        <v>24</v>
      </c>
      <c r="H191" t="s">
        <v>131</v>
      </c>
      <c r="I191">
        <v>10</v>
      </c>
      <c r="J191">
        <v>55289</v>
      </c>
      <c r="K191" t="s">
        <v>26</v>
      </c>
      <c r="L191">
        <v>6</v>
      </c>
      <c r="M191">
        <v>44</v>
      </c>
      <c r="N191">
        <v>3</v>
      </c>
      <c r="O191" t="s">
        <v>27</v>
      </c>
      <c r="P191" t="s">
        <v>27</v>
      </c>
      <c r="Q191">
        <v>4</v>
      </c>
      <c r="R191" t="s">
        <v>27</v>
      </c>
      <c r="S191" t="s">
        <v>27</v>
      </c>
      <c r="T191" t="b">
        <f t="shared" si="20"/>
        <v>0</v>
      </c>
      <c r="U191" t="str">
        <f t="shared" si="21"/>
        <v>Employee_0190</v>
      </c>
      <c r="V191" t="str">
        <f t="shared" si="22"/>
        <v>Male</v>
      </c>
      <c r="W191" t="str">
        <f t="shared" si="23"/>
        <v>Operations</v>
      </c>
      <c r="X191" t="str">
        <f t="shared" si="24"/>
        <v>Pune</v>
      </c>
      <c r="Y191" t="str">
        <f t="shared" si="25"/>
        <v>Valid</v>
      </c>
      <c r="Z191" t="str">
        <f t="shared" si="26"/>
        <v>Valid</v>
      </c>
      <c r="AA191" t="str">
        <f t="shared" si="27"/>
        <v>Valid</v>
      </c>
      <c r="AB191" s="9" t="str">
        <f t="shared" si="28"/>
        <v>Valid</v>
      </c>
      <c r="AC191" s="9" t="str">
        <f t="shared" si="29"/>
        <v>Valid</v>
      </c>
      <c r="AD191" s="9" t="str">
        <f>IF(AND(Y191="Valid",Z191="Valid",AA191="Valid",AB191="Valid",COUNTIF($A$2:A191,A191)=1),"Include","Exclude")</f>
        <v>Include</v>
      </c>
    </row>
    <row r="192" spans="1:30" x14ac:dyDescent="0.35">
      <c r="A192" t="s">
        <v>430</v>
      </c>
      <c r="B192" t="s">
        <v>431</v>
      </c>
      <c r="C192" t="s">
        <v>31</v>
      </c>
      <c r="D192">
        <v>32</v>
      </c>
      <c r="E192" t="s">
        <v>55</v>
      </c>
      <c r="F192" t="s">
        <v>39</v>
      </c>
      <c r="G192" t="s">
        <v>24</v>
      </c>
      <c r="H192" t="s">
        <v>70</v>
      </c>
      <c r="I192">
        <v>6</v>
      </c>
      <c r="J192">
        <v>58694</v>
      </c>
      <c r="K192" t="s">
        <v>26</v>
      </c>
      <c r="L192">
        <v>2</v>
      </c>
      <c r="M192">
        <v>8</v>
      </c>
      <c r="N192">
        <v>8</v>
      </c>
      <c r="O192" t="s">
        <v>27</v>
      </c>
      <c r="P192" t="s">
        <v>27</v>
      </c>
      <c r="Q192">
        <v>4</v>
      </c>
      <c r="R192" t="s">
        <v>27</v>
      </c>
      <c r="S192" t="s">
        <v>27</v>
      </c>
      <c r="T192" t="b">
        <f t="shared" si="20"/>
        <v>0</v>
      </c>
      <c r="U192" t="str">
        <f t="shared" si="21"/>
        <v>Employee_0191</v>
      </c>
      <c r="V192" t="str">
        <f t="shared" si="22"/>
        <v>Male</v>
      </c>
      <c r="W192" t="str">
        <f t="shared" si="23"/>
        <v>Operations</v>
      </c>
      <c r="X192" t="str">
        <f t="shared" si="24"/>
        <v>Bangalore</v>
      </c>
      <c r="Y192" t="str">
        <f t="shared" si="25"/>
        <v>Valid</v>
      </c>
      <c r="Z192" t="str">
        <f t="shared" si="26"/>
        <v>Valid</v>
      </c>
      <c r="AA192" t="str">
        <f t="shared" si="27"/>
        <v>Valid</v>
      </c>
      <c r="AB192" s="9" t="str">
        <f t="shared" si="28"/>
        <v>Valid</v>
      </c>
      <c r="AC192" s="9" t="str">
        <f t="shared" si="29"/>
        <v>Valid</v>
      </c>
      <c r="AD192" s="9" t="str">
        <f>IF(AND(Y192="Valid",Z192="Valid",AA192="Valid",AB192="Valid",COUNTIF($A$2:A192,A192)=1),"Include","Exclude")</f>
        <v>Include</v>
      </c>
    </row>
    <row r="193" spans="1:30" x14ac:dyDescent="0.35">
      <c r="A193" t="s">
        <v>432</v>
      </c>
      <c r="B193" t="s">
        <v>433</v>
      </c>
      <c r="C193" t="s">
        <v>21</v>
      </c>
      <c r="D193">
        <v>27</v>
      </c>
      <c r="E193" t="s">
        <v>32</v>
      </c>
      <c r="F193" t="s">
        <v>64</v>
      </c>
      <c r="G193" t="s">
        <v>24</v>
      </c>
      <c r="H193" t="s">
        <v>34</v>
      </c>
      <c r="I193">
        <v>3</v>
      </c>
      <c r="J193">
        <v>61925</v>
      </c>
      <c r="K193" t="s">
        <v>26</v>
      </c>
      <c r="L193">
        <v>3</v>
      </c>
      <c r="M193">
        <v>56</v>
      </c>
      <c r="N193">
        <v>5</v>
      </c>
      <c r="O193" t="s">
        <v>27</v>
      </c>
      <c r="P193" t="s">
        <v>28</v>
      </c>
      <c r="Q193">
        <v>1</v>
      </c>
      <c r="R193" t="s">
        <v>27</v>
      </c>
      <c r="S193" t="s">
        <v>28</v>
      </c>
      <c r="T193" t="b">
        <f t="shared" si="20"/>
        <v>0</v>
      </c>
      <c r="U193" t="str">
        <f t="shared" si="21"/>
        <v>Employee_0192</v>
      </c>
      <c r="V193" t="str">
        <f t="shared" si="22"/>
        <v>Female</v>
      </c>
      <c r="W193" t="str">
        <f t="shared" si="23"/>
        <v>Marketing</v>
      </c>
      <c r="X193" t="str">
        <f t="shared" si="24"/>
        <v>Gurgaon</v>
      </c>
      <c r="Y193" t="str">
        <f t="shared" si="25"/>
        <v>Valid</v>
      </c>
      <c r="Z193" t="str">
        <f t="shared" si="26"/>
        <v>Valid</v>
      </c>
      <c r="AA193" t="str">
        <f t="shared" si="27"/>
        <v>Valid</v>
      </c>
      <c r="AB193" s="9" t="str">
        <f t="shared" si="28"/>
        <v>Valid</v>
      </c>
      <c r="AC193" s="9" t="str">
        <f t="shared" si="29"/>
        <v>Valid</v>
      </c>
      <c r="AD193" s="9" t="str">
        <f>IF(AND(Y193="Valid",Z193="Valid",AA193="Valid",AB193="Valid",COUNTIF($A$2:A193,A193)=1),"Include","Exclude")</f>
        <v>Include</v>
      </c>
    </row>
    <row r="194" spans="1:30" x14ac:dyDescent="0.35">
      <c r="A194" t="s">
        <v>434</v>
      </c>
      <c r="B194" t="s">
        <v>435</v>
      </c>
      <c r="C194" t="s">
        <v>21</v>
      </c>
      <c r="D194">
        <v>51</v>
      </c>
      <c r="E194" t="s">
        <v>55</v>
      </c>
      <c r="F194" t="s">
        <v>43</v>
      </c>
      <c r="G194" t="s">
        <v>44</v>
      </c>
      <c r="H194" t="s">
        <v>52</v>
      </c>
      <c r="I194">
        <v>12</v>
      </c>
      <c r="J194">
        <v>63067</v>
      </c>
      <c r="K194" t="s">
        <v>45</v>
      </c>
      <c r="L194">
        <v>5</v>
      </c>
      <c r="M194">
        <v>34</v>
      </c>
      <c r="N194">
        <v>1</v>
      </c>
      <c r="O194" t="s">
        <v>27</v>
      </c>
      <c r="P194" t="s">
        <v>27</v>
      </c>
      <c r="Q194">
        <v>2</v>
      </c>
      <c r="R194" t="s">
        <v>27</v>
      </c>
      <c r="S194" t="s">
        <v>27</v>
      </c>
      <c r="T194" t="b">
        <f t="shared" ref="T194:T257" si="30">COUNTIF($A$2:$A$503,A194)&gt;1</f>
        <v>0</v>
      </c>
      <c r="U194" t="str">
        <f t="shared" ref="U194:U257" si="31">TRIM(B194)</f>
        <v>Employee_0193</v>
      </c>
      <c r="V194" t="str">
        <f t="shared" ref="V194:V257" si="32">PROPER(TRIM(C194))</f>
        <v>Female</v>
      </c>
      <c r="W194" t="str">
        <f t="shared" ref="W194:W257" si="33">PROPER(TRIM(F194))</f>
        <v>It</v>
      </c>
      <c r="X194" t="str">
        <f t="shared" ref="X194:X257" si="34">PROPER(TRIM(H194))</f>
        <v>Mumbai</v>
      </c>
      <c r="Y194" t="str">
        <f t="shared" ref="Y194:Y257" si="35">IF(J194&lt;=0,"Check","Valid")</f>
        <v>Valid</v>
      </c>
      <c r="Z194" t="str">
        <f t="shared" ref="Z194:Z257" si="36">IF(AND(L194&gt;=1,L194&lt;=10),"Valid","Check")</f>
        <v>Valid</v>
      </c>
      <c r="AA194" t="str">
        <f t="shared" ref="AA194:AA257" si="37">IF(AND(M194&gt;=0,M194&lt;=200),"Valid","Check")</f>
        <v>Valid</v>
      </c>
      <c r="AB194" s="9" t="str">
        <f t="shared" ref="AB194:AB257" si="38">IF(AND(I194&gt;=0,I194&lt;=50),"Valid","Check")</f>
        <v>Valid</v>
      </c>
      <c r="AC194" s="9" t="str">
        <f t="shared" ref="AC194:AC257" si="39">IF(OR(T194=TRUE,Y194="Check",Z194="Check",AA194="Check",AB194="Check"),"Check","Valid")</f>
        <v>Valid</v>
      </c>
      <c r="AD194" s="9" t="str">
        <f>IF(AND(Y194="Valid",Z194="Valid",AA194="Valid",AB194="Valid",COUNTIF($A$2:A194,A194)=1),"Include","Exclude")</f>
        <v>Include</v>
      </c>
    </row>
    <row r="195" spans="1:30" x14ac:dyDescent="0.35">
      <c r="A195" t="s">
        <v>436</v>
      </c>
      <c r="B195" t="s">
        <v>437</v>
      </c>
      <c r="C195" t="s">
        <v>31</v>
      </c>
      <c r="D195">
        <v>30</v>
      </c>
      <c r="E195" t="s">
        <v>55</v>
      </c>
      <c r="F195" t="s">
        <v>43</v>
      </c>
      <c r="G195" t="s">
        <v>24</v>
      </c>
      <c r="H195" t="s">
        <v>34</v>
      </c>
      <c r="I195">
        <v>5</v>
      </c>
      <c r="J195">
        <v>63342</v>
      </c>
      <c r="K195" t="s">
        <v>45</v>
      </c>
      <c r="L195">
        <v>6</v>
      </c>
      <c r="M195">
        <v>13</v>
      </c>
      <c r="N195">
        <v>6</v>
      </c>
      <c r="O195" t="s">
        <v>27</v>
      </c>
      <c r="P195" t="s">
        <v>27</v>
      </c>
      <c r="Q195">
        <v>3</v>
      </c>
      <c r="R195" t="s">
        <v>27</v>
      </c>
      <c r="S195" t="s">
        <v>27</v>
      </c>
      <c r="T195" t="b">
        <f t="shared" si="30"/>
        <v>0</v>
      </c>
      <c r="U195" t="str">
        <f t="shared" si="31"/>
        <v>Employee_0194</v>
      </c>
      <c r="V195" t="str">
        <f t="shared" si="32"/>
        <v>Male</v>
      </c>
      <c r="W195" t="str">
        <f t="shared" si="33"/>
        <v>It</v>
      </c>
      <c r="X195" t="str">
        <f t="shared" si="34"/>
        <v>Gurgaon</v>
      </c>
      <c r="Y195" t="str">
        <f t="shared" si="35"/>
        <v>Valid</v>
      </c>
      <c r="Z195" t="str">
        <f t="shared" si="36"/>
        <v>Valid</v>
      </c>
      <c r="AA195" t="str">
        <f t="shared" si="37"/>
        <v>Valid</v>
      </c>
      <c r="AB195" s="9" t="str">
        <f t="shared" si="38"/>
        <v>Valid</v>
      </c>
      <c r="AC195" s="9" t="str">
        <f t="shared" si="39"/>
        <v>Valid</v>
      </c>
      <c r="AD195" s="9" t="str">
        <f>IF(AND(Y195="Valid",Z195="Valid",AA195="Valid",AB195="Valid",COUNTIF($A$2:A195,A195)=1),"Include","Exclude")</f>
        <v>Include</v>
      </c>
    </row>
    <row r="196" spans="1:30" x14ac:dyDescent="0.35">
      <c r="A196" t="s">
        <v>438</v>
      </c>
      <c r="B196" t="s">
        <v>439</v>
      </c>
      <c r="C196" t="s">
        <v>31</v>
      </c>
      <c r="D196">
        <v>52</v>
      </c>
      <c r="E196" t="s">
        <v>55</v>
      </c>
      <c r="F196" t="s">
        <v>23</v>
      </c>
      <c r="G196" t="s">
        <v>69</v>
      </c>
      <c r="H196" t="s">
        <v>61</v>
      </c>
      <c r="I196">
        <v>16</v>
      </c>
      <c r="J196">
        <v>82000</v>
      </c>
      <c r="K196" t="s">
        <v>26</v>
      </c>
      <c r="L196">
        <v>7</v>
      </c>
      <c r="M196">
        <v>35</v>
      </c>
      <c r="N196">
        <v>3</v>
      </c>
      <c r="O196" t="s">
        <v>28</v>
      </c>
      <c r="P196" t="s">
        <v>27</v>
      </c>
      <c r="Q196">
        <v>1</v>
      </c>
      <c r="R196" t="s">
        <v>27</v>
      </c>
      <c r="S196" t="s">
        <v>27</v>
      </c>
      <c r="T196" t="b">
        <f t="shared" si="30"/>
        <v>0</v>
      </c>
      <c r="U196" t="str">
        <f t="shared" si="31"/>
        <v>Employee_0195</v>
      </c>
      <c r="V196" t="str">
        <f t="shared" si="32"/>
        <v>Male</v>
      </c>
      <c r="W196" t="str">
        <f t="shared" si="33"/>
        <v>Finance</v>
      </c>
      <c r="X196" t="str">
        <f t="shared" si="34"/>
        <v>Noida</v>
      </c>
      <c r="Y196" t="str">
        <f t="shared" si="35"/>
        <v>Valid</v>
      </c>
      <c r="Z196" t="str">
        <f t="shared" si="36"/>
        <v>Valid</v>
      </c>
      <c r="AA196" t="str">
        <f t="shared" si="37"/>
        <v>Valid</v>
      </c>
      <c r="AB196" s="9" t="str">
        <f t="shared" si="38"/>
        <v>Valid</v>
      </c>
      <c r="AC196" s="9" t="str">
        <f t="shared" si="39"/>
        <v>Valid</v>
      </c>
      <c r="AD196" s="9" t="str">
        <f>IF(AND(Y196="Valid",Z196="Valid",AA196="Valid",AB196="Valid",COUNTIF($A$2:A196,A196)=1),"Include","Exclude")</f>
        <v>Include</v>
      </c>
    </row>
    <row r="197" spans="1:30" x14ac:dyDescent="0.35">
      <c r="A197" t="s">
        <v>440</v>
      </c>
      <c r="B197" t="s">
        <v>441</v>
      </c>
      <c r="C197" t="s">
        <v>31</v>
      </c>
      <c r="D197">
        <v>51</v>
      </c>
      <c r="E197" t="s">
        <v>55</v>
      </c>
      <c r="F197" t="s">
        <v>33</v>
      </c>
      <c r="G197" t="s">
        <v>24</v>
      </c>
      <c r="H197" t="s">
        <v>25</v>
      </c>
      <c r="I197">
        <v>23</v>
      </c>
      <c r="J197">
        <v>75184</v>
      </c>
      <c r="K197" t="s">
        <v>45</v>
      </c>
      <c r="L197">
        <v>6</v>
      </c>
      <c r="M197">
        <v>0</v>
      </c>
      <c r="N197">
        <v>5</v>
      </c>
      <c r="O197" t="s">
        <v>27</v>
      </c>
      <c r="P197" t="s">
        <v>28</v>
      </c>
      <c r="Q197">
        <v>1</v>
      </c>
      <c r="R197" t="s">
        <v>27</v>
      </c>
      <c r="S197" t="s">
        <v>27</v>
      </c>
      <c r="T197" t="b">
        <f t="shared" si="30"/>
        <v>0</v>
      </c>
      <c r="U197" t="str">
        <f t="shared" si="31"/>
        <v>Employee_0196</v>
      </c>
      <c r="V197" t="str">
        <f t="shared" si="32"/>
        <v>Male</v>
      </c>
      <c r="W197" t="str">
        <f t="shared" si="33"/>
        <v>Sales</v>
      </c>
      <c r="X197" t="str">
        <f t="shared" si="34"/>
        <v>Hyderabad</v>
      </c>
      <c r="Y197" t="str">
        <f t="shared" si="35"/>
        <v>Valid</v>
      </c>
      <c r="Z197" t="str">
        <f t="shared" si="36"/>
        <v>Valid</v>
      </c>
      <c r="AA197" t="str">
        <f t="shared" si="37"/>
        <v>Valid</v>
      </c>
      <c r="AB197" s="9" t="str">
        <f t="shared" si="38"/>
        <v>Valid</v>
      </c>
      <c r="AC197" s="9" t="str">
        <f t="shared" si="39"/>
        <v>Valid</v>
      </c>
      <c r="AD197" s="9" t="str">
        <f>IF(AND(Y197="Valid",Z197="Valid",AA197="Valid",AB197="Valid",COUNTIF($A$2:A197,A197)=1),"Include","Exclude")</f>
        <v>Include</v>
      </c>
    </row>
    <row r="198" spans="1:30" x14ac:dyDescent="0.35">
      <c r="A198" t="s">
        <v>442</v>
      </c>
      <c r="B198" t="s">
        <v>443</v>
      </c>
      <c r="C198" t="s">
        <v>21</v>
      </c>
      <c r="D198">
        <v>36</v>
      </c>
      <c r="E198" t="s">
        <v>38</v>
      </c>
      <c r="F198" t="s">
        <v>23</v>
      </c>
      <c r="G198" t="s">
        <v>24</v>
      </c>
      <c r="H198" t="s">
        <v>61</v>
      </c>
      <c r="I198">
        <v>9</v>
      </c>
      <c r="J198">
        <v>82000</v>
      </c>
      <c r="K198" t="s">
        <v>45</v>
      </c>
      <c r="L198">
        <v>7</v>
      </c>
      <c r="M198">
        <v>0</v>
      </c>
      <c r="N198">
        <v>2</v>
      </c>
      <c r="O198" t="s">
        <v>28</v>
      </c>
      <c r="P198" t="s">
        <v>28</v>
      </c>
      <c r="Q198">
        <v>2</v>
      </c>
      <c r="R198" t="s">
        <v>27</v>
      </c>
      <c r="S198" t="s">
        <v>27</v>
      </c>
      <c r="T198" t="b">
        <f t="shared" si="30"/>
        <v>0</v>
      </c>
      <c r="U198" t="str">
        <f t="shared" si="31"/>
        <v>Employee_0197</v>
      </c>
      <c r="V198" t="str">
        <f t="shared" si="32"/>
        <v>Female</v>
      </c>
      <c r="W198" t="str">
        <f t="shared" si="33"/>
        <v>Finance</v>
      </c>
      <c r="X198" t="str">
        <f t="shared" si="34"/>
        <v>Noida</v>
      </c>
      <c r="Y198" t="str">
        <f t="shared" si="35"/>
        <v>Valid</v>
      </c>
      <c r="Z198" t="str">
        <f t="shared" si="36"/>
        <v>Valid</v>
      </c>
      <c r="AA198" t="str">
        <f t="shared" si="37"/>
        <v>Valid</v>
      </c>
      <c r="AB198" s="9" t="str">
        <f t="shared" si="38"/>
        <v>Valid</v>
      </c>
      <c r="AC198" s="9" t="str">
        <f t="shared" si="39"/>
        <v>Valid</v>
      </c>
      <c r="AD198" s="9" t="str">
        <f>IF(AND(Y198="Valid",Z198="Valid",AA198="Valid",AB198="Valid",COUNTIF($A$2:A198,A198)=1),"Include","Exclude")</f>
        <v>Include</v>
      </c>
    </row>
    <row r="199" spans="1:30" x14ac:dyDescent="0.35">
      <c r="A199" t="s">
        <v>444</v>
      </c>
      <c r="B199" t="s">
        <v>445</v>
      </c>
      <c r="C199" t="s">
        <v>31</v>
      </c>
      <c r="D199">
        <v>39</v>
      </c>
      <c r="E199" t="s">
        <v>55</v>
      </c>
      <c r="F199" t="s">
        <v>43</v>
      </c>
      <c r="G199" t="s">
        <v>69</v>
      </c>
      <c r="H199" t="s">
        <v>70</v>
      </c>
      <c r="I199">
        <v>11</v>
      </c>
      <c r="J199">
        <v>74127</v>
      </c>
      <c r="K199" t="s">
        <v>26</v>
      </c>
      <c r="L199">
        <v>8</v>
      </c>
      <c r="M199">
        <v>12</v>
      </c>
      <c r="N199">
        <v>5</v>
      </c>
      <c r="O199" t="s">
        <v>28</v>
      </c>
      <c r="P199" t="s">
        <v>28</v>
      </c>
      <c r="Q199">
        <v>4</v>
      </c>
      <c r="R199" t="s">
        <v>27</v>
      </c>
      <c r="S199" t="s">
        <v>27</v>
      </c>
      <c r="T199" t="b">
        <f t="shared" si="30"/>
        <v>0</v>
      </c>
      <c r="U199" t="str">
        <f t="shared" si="31"/>
        <v>Employee_0198</v>
      </c>
      <c r="V199" t="str">
        <f t="shared" si="32"/>
        <v>Male</v>
      </c>
      <c r="W199" t="str">
        <f t="shared" si="33"/>
        <v>It</v>
      </c>
      <c r="X199" t="str">
        <f t="shared" si="34"/>
        <v>Bangalore</v>
      </c>
      <c r="Y199" t="str">
        <f t="shared" si="35"/>
        <v>Valid</v>
      </c>
      <c r="Z199" t="str">
        <f t="shared" si="36"/>
        <v>Valid</v>
      </c>
      <c r="AA199" t="str">
        <f t="shared" si="37"/>
        <v>Valid</v>
      </c>
      <c r="AB199" s="9" t="str">
        <f t="shared" si="38"/>
        <v>Valid</v>
      </c>
      <c r="AC199" s="9" t="str">
        <f t="shared" si="39"/>
        <v>Valid</v>
      </c>
      <c r="AD199" s="9" t="str">
        <f>IF(AND(Y199="Valid",Z199="Valid",AA199="Valid",AB199="Valid",COUNTIF($A$2:A199,A199)=1),"Include","Exclude")</f>
        <v>Include</v>
      </c>
    </row>
    <row r="200" spans="1:30" x14ac:dyDescent="0.35">
      <c r="A200" t="s">
        <v>446</v>
      </c>
      <c r="B200" t="s">
        <v>447</v>
      </c>
      <c r="C200" t="s">
        <v>21</v>
      </c>
      <c r="D200">
        <v>45</v>
      </c>
      <c r="E200" t="s">
        <v>38</v>
      </c>
      <c r="F200" t="s">
        <v>23</v>
      </c>
      <c r="G200" t="s">
        <v>24</v>
      </c>
      <c r="H200" t="s">
        <v>49</v>
      </c>
      <c r="I200">
        <v>18</v>
      </c>
      <c r="J200">
        <v>71675</v>
      </c>
      <c r="K200" t="s">
        <v>35</v>
      </c>
      <c r="L200">
        <v>2</v>
      </c>
      <c r="M200">
        <v>37</v>
      </c>
      <c r="N200">
        <v>5</v>
      </c>
      <c r="O200" t="s">
        <v>28</v>
      </c>
      <c r="P200" t="s">
        <v>28</v>
      </c>
      <c r="Q200">
        <v>4</v>
      </c>
      <c r="R200" t="s">
        <v>27</v>
      </c>
      <c r="S200" t="s">
        <v>27</v>
      </c>
      <c r="T200" t="b">
        <f t="shared" si="30"/>
        <v>0</v>
      </c>
      <c r="U200" t="str">
        <f t="shared" si="31"/>
        <v>Employee_0199</v>
      </c>
      <c r="V200" t="str">
        <f t="shared" si="32"/>
        <v>Female</v>
      </c>
      <c r="W200" t="str">
        <f t="shared" si="33"/>
        <v>Finance</v>
      </c>
      <c r="X200" t="str">
        <f t="shared" si="34"/>
        <v>Delhi</v>
      </c>
      <c r="Y200" t="str">
        <f t="shared" si="35"/>
        <v>Valid</v>
      </c>
      <c r="Z200" t="str">
        <f t="shared" si="36"/>
        <v>Valid</v>
      </c>
      <c r="AA200" t="str">
        <f t="shared" si="37"/>
        <v>Valid</v>
      </c>
      <c r="AB200" s="9" t="str">
        <f t="shared" si="38"/>
        <v>Valid</v>
      </c>
      <c r="AC200" s="9" t="str">
        <f t="shared" si="39"/>
        <v>Valid</v>
      </c>
      <c r="AD200" s="9" t="str">
        <f>IF(AND(Y200="Valid",Z200="Valid",AA200="Valid",AB200="Valid",COUNTIF($A$2:A200,A200)=1),"Include","Exclude")</f>
        <v>Include</v>
      </c>
    </row>
    <row r="201" spans="1:30" x14ac:dyDescent="0.35">
      <c r="A201" t="s">
        <v>448</v>
      </c>
      <c r="B201" t="s">
        <v>449</v>
      </c>
      <c r="C201" t="s">
        <v>21</v>
      </c>
      <c r="D201">
        <v>34</v>
      </c>
      <c r="E201" t="s">
        <v>38</v>
      </c>
      <c r="F201" t="s">
        <v>33</v>
      </c>
      <c r="G201" t="s">
        <v>24</v>
      </c>
      <c r="H201" t="s">
        <v>49</v>
      </c>
      <c r="I201">
        <v>6</v>
      </c>
      <c r="J201">
        <v>58554</v>
      </c>
      <c r="K201" t="s">
        <v>45</v>
      </c>
      <c r="L201">
        <v>8</v>
      </c>
      <c r="M201">
        <v>44</v>
      </c>
      <c r="N201">
        <v>3</v>
      </c>
      <c r="O201" t="s">
        <v>27</v>
      </c>
      <c r="P201" t="s">
        <v>28</v>
      </c>
      <c r="Q201">
        <v>1</v>
      </c>
      <c r="R201" t="s">
        <v>27</v>
      </c>
      <c r="S201" t="s">
        <v>27</v>
      </c>
      <c r="T201" t="b">
        <f t="shared" si="30"/>
        <v>0</v>
      </c>
      <c r="U201" t="str">
        <f t="shared" si="31"/>
        <v>Employee_0200</v>
      </c>
      <c r="V201" t="str">
        <f t="shared" si="32"/>
        <v>Female</v>
      </c>
      <c r="W201" t="str">
        <f t="shared" si="33"/>
        <v>Sales</v>
      </c>
      <c r="X201" t="str">
        <f t="shared" si="34"/>
        <v>Delhi</v>
      </c>
      <c r="Y201" t="str">
        <f t="shared" si="35"/>
        <v>Valid</v>
      </c>
      <c r="Z201" t="str">
        <f t="shared" si="36"/>
        <v>Valid</v>
      </c>
      <c r="AA201" t="str">
        <f t="shared" si="37"/>
        <v>Valid</v>
      </c>
      <c r="AB201" s="9" t="str">
        <f t="shared" si="38"/>
        <v>Valid</v>
      </c>
      <c r="AC201" s="9" t="str">
        <f t="shared" si="39"/>
        <v>Valid</v>
      </c>
      <c r="AD201" s="9" t="str">
        <f>IF(AND(Y201="Valid",Z201="Valid",AA201="Valid",AB201="Valid",COUNTIF($A$2:A201,A201)=1),"Include","Exclude")</f>
        <v>Include</v>
      </c>
    </row>
    <row r="202" spans="1:30" x14ac:dyDescent="0.35">
      <c r="A202" t="s">
        <v>450</v>
      </c>
      <c r="B202" t="s">
        <v>451</v>
      </c>
      <c r="C202" t="s">
        <v>21</v>
      </c>
      <c r="D202">
        <v>25</v>
      </c>
      <c r="E202" t="s">
        <v>38</v>
      </c>
      <c r="F202" t="s">
        <v>64</v>
      </c>
      <c r="G202" t="s">
        <v>24</v>
      </c>
      <c r="H202" t="s">
        <v>70</v>
      </c>
      <c r="I202">
        <v>3</v>
      </c>
      <c r="J202">
        <v>67008</v>
      </c>
      <c r="K202" t="s">
        <v>45</v>
      </c>
      <c r="L202">
        <v>8</v>
      </c>
      <c r="M202">
        <v>31</v>
      </c>
      <c r="N202">
        <v>5</v>
      </c>
      <c r="O202" t="s">
        <v>28</v>
      </c>
      <c r="P202" t="s">
        <v>28</v>
      </c>
      <c r="Q202">
        <v>2</v>
      </c>
      <c r="R202" t="s">
        <v>28</v>
      </c>
      <c r="S202" t="s">
        <v>27</v>
      </c>
      <c r="T202" t="b">
        <f t="shared" si="30"/>
        <v>0</v>
      </c>
      <c r="U202" t="str">
        <f t="shared" si="31"/>
        <v>Employee_0201</v>
      </c>
      <c r="V202" t="str">
        <f t="shared" si="32"/>
        <v>Female</v>
      </c>
      <c r="W202" t="str">
        <f t="shared" si="33"/>
        <v>Marketing</v>
      </c>
      <c r="X202" t="str">
        <f t="shared" si="34"/>
        <v>Bangalore</v>
      </c>
      <c r="Y202" t="str">
        <f t="shared" si="35"/>
        <v>Valid</v>
      </c>
      <c r="Z202" t="str">
        <f t="shared" si="36"/>
        <v>Valid</v>
      </c>
      <c r="AA202" t="str">
        <f t="shared" si="37"/>
        <v>Valid</v>
      </c>
      <c r="AB202" s="9" t="str">
        <f t="shared" si="38"/>
        <v>Valid</v>
      </c>
      <c r="AC202" s="9" t="str">
        <f t="shared" si="39"/>
        <v>Valid</v>
      </c>
      <c r="AD202" s="9" t="str">
        <f>IF(AND(Y202="Valid",Z202="Valid",AA202="Valid",AB202="Valid",COUNTIF($A$2:A202,A202)=1),"Include","Exclude")</f>
        <v>Include</v>
      </c>
    </row>
    <row r="203" spans="1:30" x14ac:dyDescent="0.35">
      <c r="A203" t="s">
        <v>452</v>
      </c>
      <c r="B203" t="s">
        <v>453</v>
      </c>
      <c r="C203" t="s">
        <v>454</v>
      </c>
      <c r="D203">
        <v>25</v>
      </c>
      <c r="E203" t="s">
        <v>22</v>
      </c>
      <c r="F203" t="s">
        <v>23</v>
      </c>
      <c r="G203" t="s">
        <v>24</v>
      </c>
      <c r="H203" t="s">
        <v>61</v>
      </c>
      <c r="I203">
        <v>3</v>
      </c>
      <c r="J203">
        <v>68340</v>
      </c>
      <c r="K203" t="s">
        <v>45</v>
      </c>
      <c r="L203">
        <v>7</v>
      </c>
      <c r="M203">
        <v>49</v>
      </c>
      <c r="N203">
        <v>2</v>
      </c>
      <c r="O203" t="s">
        <v>27</v>
      </c>
      <c r="P203" t="s">
        <v>28</v>
      </c>
      <c r="Q203">
        <v>3</v>
      </c>
      <c r="R203" t="s">
        <v>27</v>
      </c>
      <c r="S203" t="s">
        <v>27</v>
      </c>
      <c r="T203" t="b">
        <f t="shared" si="30"/>
        <v>0</v>
      </c>
      <c r="U203" t="str">
        <f t="shared" si="31"/>
        <v>Employee_0202</v>
      </c>
      <c r="V203" t="str">
        <f t="shared" si="32"/>
        <v>Female</v>
      </c>
      <c r="W203" t="str">
        <f t="shared" si="33"/>
        <v>Finance</v>
      </c>
      <c r="X203" t="str">
        <f t="shared" si="34"/>
        <v>Noida</v>
      </c>
      <c r="Y203" t="str">
        <f t="shared" si="35"/>
        <v>Valid</v>
      </c>
      <c r="Z203" t="str">
        <f t="shared" si="36"/>
        <v>Valid</v>
      </c>
      <c r="AA203" t="str">
        <f t="shared" si="37"/>
        <v>Valid</v>
      </c>
      <c r="AB203" s="9" t="str">
        <f t="shared" si="38"/>
        <v>Valid</v>
      </c>
      <c r="AC203" s="9" t="str">
        <f t="shared" si="39"/>
        <v>Valid</v>
      </c>
      <c r="AD203" s="9" t="str">
        <f>IF(AND(Y203="Valid",Z203="Valid",AA203="Valid",AB203="Valid",COUNTIF($A$2:A203,A203)=1),"Include","Exclude")</f>
        <v>Include</v>
      </c>
    </row>
    <row r="204" spans="1:30" x14ac:dyDescent="0.35">
      <c r="A204" t="s">
        <v>455</v>
      </c>
      <c r="B204" t="s">
        <v>456</v>
      </c>
      <c r="C204" t="s">
        <v>21</v>
      </c>
      <c r="D204">
        <v>54</v>
      </c>
      <c r="E204" t="s">
        <v>38</v>
      </c>
      <c r="F204" t="s">
        <v>33</v>
      </c>
      <c r="G204" t="s">
        <v>24</v>
      </c>
      <c r="H204" t="s">
        <v>61</v>
      </c>
      <c r="I204">
        <v>22</v>
      </c>
      <c r="J204">
        <v>82000</v>
      </c>
      <c r="K204" t="s">
        <v>40</v>
      </c>
      <c r="L204">
        <v>7</v>
      </c>
      <c r="M204">
        <v>6</v>
      </c>
      <c r="N204">
        <v>7</v>
      </c>
      <c r="O204" t="s">
        <v>27</v>
      </c>
      <c r="P204" t="s">
        <v>28</v>
      </c>
      <c r="Q204">
        <v>2</v>
      </c>
      <c r="R204" t="s">
        <v>27</v>
      </c>
      <c r="S204" t="s">
        <v>27</v>
      </c>
      <c r="T204" t="b">
        <f t="shared" si="30"/>
        <v>0</v>
      </c>
      <c r="U204" t="str">
        <f t="shared" si="31"/>
        <v>Employee_0203</v>
      </c>
      <c r="V204" t="str">
        <f t="shared" si="32"/>
        <v>Female</v>
      </c>
      <c r="W204" t="str">
        <f t="shared" si="33"/>
        <v>Sales</v>
      </c>
      <c r="X204" t="str">
        <f t="shared" si="34"/>
        <v>Noida</v>
      </c>
      <c r="Y204" t="str">
        <f t="shared" si="35"/>
        <v>Valid</v>
      </c>
      <c r="Z204" t="str">
        <f t="shared" si="36"/>
        <v>Valid</v>
      </c>
      <c r="AA204" t="str">
        <f t="shared" si="37"/>
        <v>Valid</v>
      </c>
      <c r="AB204" s="9" t="str">
        <f t="shared" si="38"/>
        <v>Valid</v>
      </c>
      <c r="AC204" s="9" t="str">
        <f t="shared" si="39"/>
        <v>Valid</v>
      </c>
      <c r="AD204" s="9" t="str">
        <f>IF(AND(Y204="Valid",Z204="Valid",AA204="Valid",AB204="Valid",COUNTIF($A$2:A204,A204)=1),"Include","Exclude")</f>
        <v>Include</v>
      </c>
    </row>
    <row r="205" spans="1:30" x14ac:dyDescent="0.35">
      <c r="A205" t="s">
        <v>457</v>
      </c>
      <c r="B205" t="s">
        <v>458</v>
      </c>
      <c r="C205" t="s">
        <v>31</v>
      </c>
      <c r="D205">
        <v>30</v>
      </c>
      <c r="E205" t="s">
        <v>55</v>
      </c>
      <c r="F205" t="s">
        <v>39</v>
      </c>
      <c r="G205" t="s">
        <v>24</v>
      </c>
      <c r="H205" t="s">
        <v>25</v>
      </c>
      <c r="I205">
        <v>6</v>
      </c>
      <c r="J205">
        <v>49612</v>
      </c>
      <c r="K205" t="s">
        <v>45</v>
      </c>
      <c r="L205">
        <v>4</v>
      </c>
      <c r="M205">
        <v>4</v>
      </c>
      <c r="N205">
        <v>0</v>
      </c>
      <c r="O205" t="s">
        <v>27</v>
      </c>
      <c r="P205" t="s">
        <v>28</v>
      </c>
      <c r="Q205">
        <v>3</v>
      </c>
      <c r="R205" t="s">
        <v>27</v>
      </c>
      <c r="S205" t="s">
        <v>27</v>
      </c>
      <c r="T205" t="b">
        <f t="shared" si="30"/>
        <v>0</v>
      </c>
      <c r="U205" t="str">
        <f t="shared" si="31"/>
        <v>Employee_0204</v>
      </c>
      <c r="V205" t="str">
        <f t="shared" si="32"/>
        <v>Male</v>
      </c>
      <c r="W205" t="str">
        <f t="shared" si="33"/>
        <v>Operations</v>
      </c>
      <c r="X205" t="str">
        <f t="shared" si="34"/>
        <v>Hyderabad</v>
      </c>
      <c r="Y205" t="str">
        <f t="shared" si="35"/>
        <v>Valid</v>
      </c>
      <c r="Z205" t="str">
        <f t="shared" si="36"/>
        <v>Valid</v>
      </c>
      <c r="AA205" t="str">
        <f t="shared" si="37"/>
        <v>Valid</v>
      </c>
      <c r="AB205" s="9" t="str">
        <f t="shared" si="38"/>
        <v>Valid</v>
      </c>
      <c r="AC205" s="9" t="str">
        <f t="shared" si="39"/>
        <v>Valid</v>
      </c>
      <c r="AD205" s="9" t="str">
        <f>IF(AND(Y205="Valid",Z205="Valid",AA205="Valid",AB205="Valid",COUNTIF($A$2:A205,A205)=1),"Include","Exclude")</f>
        <v>Include</v>
      </c>
    </row>
    <row r="206" spans="1:30" x14ac:dyDescent="0.35">
      <c r="A206" t="s">
        <v>459</v>
      </c>
      <c r="B206" t="s">
        <v>460</v>
      </c>
      <c r="C206" t="s">
        <v>21</v>
      </c>
      <c r="D206">
        <v>45</v>
      </c>
      <c r="E206" t="s">
        <v>55</v>
      </c>
      <c r="F206" t="s">
        <v>43</v>
      </c>
      <c r="G206" t="s">
        <v>69</v>
      </c>
      <c r="H206" t="s">
        <v>61</v>
      </c>
      <c r="I206">
        <v>10</v>
      </c>
      <c r="J206">
        <v>75037</v>
      </c>
      <c r="K206" t="s">
        <v>45</v>
      </c>
      <c r="L206">
        <v>2</v>
      </c>
      <c r="M206">
        <v>22</v>
      </c>
      <c r="N206">
        <v>4</v>
      </c>
      <c r="O206" t="s">
        <v>27</v>
      </c>
      <c r="P206" t="s">
        <v>27</v>
      </c>
      <c r="Q206">
        <v>1</v>
      </c>
      <c r="R206" t="s">
        <v>28</v>
      </c>
      <c r="S206" t="s">
        <v>27</v>
      </c>
      <c r="T206" t="b">
        <f t="shared" si="30"/>
        <v>0</v>
      </c>
      <c r="U206" t="str">
        <f t="shared" si="31"/>
        <v>Employee_0205</v>
      </c>
      <c r="V206" t="str">
        <f t="shared" si="32"/>
        <v>Female</v>
      </c>
      <c r="W206" t="str">
        <f t="shared" si="33"/>
        <v>It</v>
      </c>
      <c r="X206" t="str">
        <f t="shared" si="34"/>
        <v>Noida</v>
      </c>
      <c r="Y206" t="str">
        <f t="shared" si="35"/>
        <v>Valid</v>
      </c>
      <c r="Z206" t="str">
        <f t="shared" si="36"/>
        <v>Valid</v>
      </c>
      <c r="AA206" t="str">
        <f t="shared" si="37"/>
        <v>Valid</v>
      </c>
      <c r="AB206" s="9" t="str">
        <f t="shared" si="38"/>
        <v>Valid</v>
      </c>
      <c r="AC206" s="9" t="str">
        <f t="shared" si="39"/>
        <v>Valid</v>
      </c>
      <c r="AD206" s="9" t="str">
        <f>IF(AND(Y206="Valid",Z206="Valid",AA206="Valid",AB206="Valid",COUNTIF($A$2:A206,A206)=1),"Include","Exclude")</f>
        <v>Include</v>
      </c>
    </row>
    <row r="207" spans="1:30" x14ac:dyDescent="0.35">
      <c r="A207" t="s">
        <v>461</v>
      </c>
      <c r="B207" t="s">
        <v>462</v>
      </c>
      <c r="C207" t="s">
        <v>21</v>
      </c>
      <c r="D207">
        <v>32</v>
      </c>
      <c r="E207" t="s">
        <v>38</v>
      </c>
      <c r="F207" t="s">
        <v>23</v>
      </c>
      <c r="G207" t="s">
        <v>24</v>
      </c>
      <c r="H207" t="s">
        <v>131</v>
      </c>
      <c r="I207">
        <v>6</v>
      </c>
      <c r="J207">
        <v>70683</v>
      </c>
      <c r="K207" t="s">
        <v>45</v>
      </c>
      <c r="L207">
        <v>6</v>
      </c>
      <c r="M207">
        <v>27</v>
      </c>
      <c r="N207">
        <v>3</v>
      </c>
      <c r="O207" t="s">
        <v>27</v>
      </c>
      <c r="P207" t="s">
        <v>27</v>
      </c>
      <c r="Q207">
        <v>1</v>
      </c>
      <c r="R207" t="s">
        <v>27</v>
      </c>
      <c r="S207" t="s">
        <v>27</v>
      </c>
      <c r="T207" t="b">
        <f t="shared" si="30"/>
        <v>0</v>
      </c>
      <c r="U207" t="str">
        <f t="shared" si="31"/>
        <v>Employee_0206</v>
      </c>
      <c r="V207" t="str">
        <f t="shared" si="32"/>
        <v>Female</v>
      </c>
      <c r="W207" t="str">
        <f t="shared" si="33"/>
        <v>Finance</v>
      </c>
      <c r="X207" t="str">
        <f t="shared" si="34"/>
        <v>Pune</v>
      </c>
      <c r="Y207" t="str">
        <f t="shared" si="35"/>
        <v>Valid</v>
      </c>
      <c r="Z207" t="str">
        <f t="shared" si="36"/>
        <v>Valid</v>
      </c>
      <c r="AA207" t="str">
        <f t="shared" si="37"/>
        <v>Valid</v>
      </c>
      <c r="AB207" s="9" t="str">
        <f t="shared" si="38"/>
        <v>Valid</v>
      </c>
      <c r="AC207" s="9" t="str">
        <f t="shared" si="39"/>
        <v>Valid</v>
      </c>
      <c r="AD207" s="9" t="str">
        <f>IF(AND(Y207="Valid",Z207="Valid",AA207="Valid",AB207="Valid",COUNTIF($A$2:A207,A207)=1),"Include","Exclude")</f>
        <v>Include</v>
      </c>
    </row>
    <row r="208" spans="1:30" x14ac:dyDescent="0.35">
      <c r="A208" t="s">
        <v>463</v>
      </c>
      <c r="B208" t="s">
        <v>464</v>
      </c>
      <c r="C208" t="s">
        <v>21</v>
      </c>
      <c r="D208">
        <v>36</v>
      </c>
      <c r="E208" t="s">
        <v>55</v>
      </c>
      <c r="F208" t="s">
        <v>60</v>
      </c>
      <c r="G208" t="s">
        <v>24</v>
      </c>
      <c r="H208" t="s">
        <v>61</v>
      </c>
      <c r="I208">
        <v>9</v>
      </c>
      <c r="J208">
        <v>56682</v>
      </c>
      <c r="K208" t="s">
        <v>40</v>
      </c>
      <c r="L208">
        <v>7</v>
      </c>
      <c r="M208">
        <v>44</v>
      </c>
      <c r="N208">
        <v>6</v>
      </c>
      <c r="O208" t="s">
        <v>28</v>
      </c>
      <c r="P208" t="s">
        <v>28</v>
      </c>
      <c r="Q208">
        <v>5</v>
      </c>
      <c r="R208" t="s">
        <v>27</v>
      </c>
      <c r="S208" t="s">
        <v>27</v>
      </c>
      <c r="T208" t="b">
        <f t="shared" si="30"/>
        <v>0</v>
      </c>
      <c r="U208" t="str">
        <f t="shared" si="31"/>
        <v>Employee_0207</v>
      </c>
      <c r="V208" t="str">
        <f t="shared" si="32"/>
        <v>Female</v>
      </c>
      <c r="W208" t="str">
        <f t="shared" si="33"/>
        <v>Hr</v>
      </c>
      <c r="X208" t="str">
        <f t="shared" si="34"/>
        <v>Noida</v>
      </c>
      <c r="Y208" t="str">
        <f t="shared" si="35"/>
        <v>Valid</v>
      </c>
      <c r="Z208" t="str">
        <f t="shared" si="36"/>
        <v>Valid</v>
      </c>
      <c r="AA208" t="str">
        <f t="shared" si="37"/>
        <v>Valid</v>
      </c>
      <c r="AB208" s="9" t="str">
        <f t="shared" si="38"/>
        <v>Valid</v>
      </c>
      <c r="AC208" s="9" t="str">
        <f t="shared" si="39"/>
        <v>Valid</v>
      </c>
      <c r="AD208" s="9" t="str">
        <f>IF(AND(Y208="Valid",Z208="Valid",AA208="Valid",AB208="Valid",COUNTIF($A$2:A208,A208)=1),"Include","Exclude")</f>
        <v>Include</v>
      </c>
    </row>
    <row r="209" spans="1:30" x14ac:dyDescent="0.35">
      <c r="A209" t="s">
        <v>465</v>
      </c>
      <c r="B209" t="s">
        <v>466</v>
      </c>
      <c r="C209" t="s">
        <v>31</v>
      </c>
      <c r="D209">
        <v>51</v>
      </c>
      <c r="E209" t="s">
        <v>55</v>
      </c>
      <c r="F209" t="s">
        <v>33</v>
      </c>
      <c r="G209" t="s">
        <v>69</v>
      </c>
      <c r="H209" t="s">
        <v>25</v>
      </c>
      <c r="I209">
        <v>17</v>
      </c>
      <c r="J209">
        <v>46674</v>
      </c>
      <c r="K209" t="s">
        <v>26</v>
      </c>
      <c r="L209">
        <v>2</v>
      </c>
      <c r="M209">
        <v>19</v>
      </c>
      <c r="N209">
        <v>4</v>
      </c>
      <c r="O209" t="s">
        <v>28</v>
      </c>
      <c r="P209" t="s">
        <v>28</v>
      </c>
      <c r="Q209">
        <v>4</v>
      </c>
      <c r="R209" t="s">
        <v>27</v>
      </c>
      <c r="S209" t="s">
        <v>27</v>
      </c>
      <c r="T209" t="b">
        <f t="shared" si="30"/>
        <v>0</v>
      </c>
      <c r="U209" t="str">
        <f t="shared" si="31"/>
        <v>Employee_0208</v>
      </c>
      <c r="V209" t="str">
        <f t="shared" si="32"/>
        <v>Male</v>
      </c>
      <c r="W209" t="str">
        <f t="shared" si="33"/>
        <v>Sales</v>
      </c>
      <c r="X209" t="str">
        <f t="shared" si="34"/>
        <v>Hyderabad</v>
      </c>
      <c r="Y209" t="str">
        <f t="shared" si="35"/>
        <v>Valid</v>
      </c>
      <c r="Z209" t="str">
        <f t="shared" si="36"/>
        <v>Valid</v>
      </c>
      <c r="AA209" t="str">
        <f t="shared" si="37"/>
        <v>Valid</v>
      </c>
      <c r="AB209" s="9" t="str">
        <f t="shared" si="38"/>
        <v>Valid</v>
      </c>
      <c r="AC209" s="9" t="str">
        <f t="shared" si="39"/>
        <v>Valid</v>
      </c>
      <c r="AD209" s="9" t="str">
        <f>IF(AND(Y209="Valid",Z209="Valid",AA209="Valid",AB209="Valid",COUNTIF($A$2:A209,A209)=1),"Include","Exclude")</f>
        <v>Include</v>
      </c>
    </row>
    <row r="210" spans="1:30" x14ac:dyDescent="0.35">
      <c r="A210" t="s">
        <v>467</v>
      </c>
      <c r="B210" t="s">
        <v>468</v>
      </c>
      <c r="C210" t="s">
        <v>21</v>
      </c>
      <c r="D210">
        <v>23</v>
      </c>
      <c r="E210" t="s">
        <v>38</v>
      </c>
      <c r="F210" t="s">
        <v>33</v>
      </c>
      <c r="G210" t="s">
        <v>69</v>
      </c>
      <c r="H210" t="s">
        <v>61</v>
      </c>
      <c r="I210">
        <v>1</v>
      </c>
      <c r="J210">
        <v>57634</v>
      </c>
      <c r="K210" t="s">
        <v>35</v>
      </c>
      <c r="L210">
        <v>7</v>
      </c>
      <c r="M210">
        <v>14</v>
      </c>
      <c r="N210">
        <v>3</v>
      </c>
      <c r="O210" t="s">
        <v>28</v>
      </c>
      <c r="P210" t="s">
        <v>28</v>
      </c>
      <c r="Q210">
        <v>2</v>
      </c>
      <c r="R210" t="s">
        <v>27</v>
      </c>
      <c r="S210" t="s">
        <v>27</v>
      </c>
      <c r="T210" t="b">
        <f t="shared" si="30"/>
        <v>0</v>
      </c>
      <c r="U210" t="str">
        <f t="shared" si="31"/>
        <v>Employee_0209</v>
      </c>
      <c r="V210" t="str">
        <f t="shared" si="32"/>
        <v>Female</v>
      </c>
      <c r="W210" t="str">
        <f t="shared" si="33"/>
        <v>Sales</v>
      </c>
      <c r="X210" t="str">
        <f t="shared" si="34"/>
        <v>Noida</v>
      </c>
      <c r="Y210" t="str">
        <f t="shared" si="35"/>
        <v>Valid</v>
      </c>
      <c r="Z210" t="str">
        <f t="shared" si="36"/>
        <v>Valid</v>
      </c>
      <c r="AA210" t="str">
        <f t="shared" si="37"/>
        <v>Valid</v>
      </c>
      <c r="AB210" s="9" t="str">
        <f t="shared" si="38"/>
        <v>Valid</v>
      </c>
      <c r="AC210" s="9" t="str">
        <f t="shared" si="39"/>
        <v>Valid</v>
      </c>
      <c r="AD210" s="9" t="str">
        <f>IF(AND(Y210="Valid",Z210="Valid",AA210="Valid",AB210="Valid",COUNTIF($A$2:A210,A210)=1),"Include","Exclude")</f>
        <v>Include</v>
      </c>
    </row>
    <row r="211" spans="1:30" x14ac:dyDescent="0.35">
      <c r="A211" t="s">
        <v>469</v>
      </c>
      <c r="B211" t="s">
        <v>470</v>
      </c>
      <c r="C211" t="s">
        <v>31</v>
      </c>
      <c r="D211">
        <v>36</v>
      </c>
      <c r="E211" t="s">
        <v>55</v>
      </c>
      <c r="F211" t="s">
        <v>43</v>
      </c>
      <c r="G211" t="s">
        <v>69</v>
      </c>
      <c r="H211" t="s">
        <v>25</v>
      </c>
      <c r="I211">
        <v>6</v>
      </c>
      <c r="J211">
        <v>82000</v>
      </c>
      <c r="K211" t="s">
        <v>45</v>
      </c>
      <c r="L211">
        <v>3</v>
      </c>
      <c r="M211">
        <v>20</v>
      </c>
      <c r="N211">
        <v>1</v>
      </c>
      <c r="O211" t="s">
        <v>27</v>
      </c>
      <c r="P211" t="s">
        <v>28</v>
      </c>
      <c r="Q211">
        <v>1</v>
      </c>
      <c r="R211" t="s">
        <v>27</v>
      </c>
      <c r="S211" t="s">
        <v>27</v>
      </c>
      <c r="T211" t="b">
        <f t="shared" si="30"/>
        <v>0</v>
      </c>
      <c r="U211" t="str">
        <f t="shared" si="31"/>
        <v>Employee_0210</v>
      </c>
      <c r="V211" t="str">
        <f t="shared" si="32"/>
        <v>Male</v>
      </c>
      <c r="W211" t="str">
        <f t="shared" si="33"/>
        <v>It</v>
      </c>
      <c r="X211" t="str">
        <f t="shared" si="34"/>
        <v>Hyderabad</v>
      </c>
      <c r="Y211" t="str">
        <f t="shared" si="35"/>
        <v>Valid</v>
      </c>
      <c r="Z211" t="str">
        <f t="shared" si="36"/>
        <v>Valid</v>
      </c>
      <c r="AA211" t="str">
        <f t="shared" si="37"/>
        <v>Valid</v>
      </c>
      <c r="AB211" s="9" t="str">
        <f t="shared" si="38"/>
        <v>Valid</v>
      </c>
      <c r="AC211" s="9" t="str">
        <f t="shared" si="39"/>
        <v>Valid</v>
      </c>
      <c r="AD211" s="9" t="str">
        <f>IF(AND(Y211="Valid",Z211="Valid",AA211="Valid",AB211="Valid",COUNTIF($A$2:A211,A211)=1),"Include","Exclude")</f>
        <v>Include</v>
      </c>
    </row>
    <row r="212" spans="1:30" x14ac:dyDescent="0.35">
      <c r="A212" t="s">
        <v>471</v>
      </c>
      <c r="B212" t="s">
        <v>472</v>
      </c>
      <c r="C212" t="s">
        <v>21</v>
      </c>
      <c r="D212">
        <v>48</v>
      </c>
      <c r="E212" t="s">
        <v>55</v>
      </c>
      <c r="F212" t="s">
        <v>43</v>
      </c>
      <c r="G212" t="s">
        <v>44</v>
      </c>
      <c r="H212" t="s">
        <v>61</v>
      </c>
      <c r="I212">
        <v>20</v>
      </c>
      <c r="J212">
        <v>82000</v>
      </c>
      <c r="K212" t="s">
        <v>45</v>
      </c>
      <c r="L212">
        <v>1</v>
      </c>
      <c r="M212">
        <v>36</v>
      </c>
      <c r="N212">
        <v>3</v>
      </c>
      <c r="O212" t="s">
        <v>27</v>
      </c>
      <c r="P212" t="s">
        <v>28</v>
      </c>
      <c r="Q212">
        <v>2</v>
      </c>
      <c r="R212" t="s">
        <v>28</v>
      </c>
      <c r="S212" t="s">
        <v>28</v>
      </c>
      <c r="T212" t="b">
        <f t="shared" si="30"/>
        <v>0</v>
      </c>
      <c r="U212" t="str">
        <f t="shared" si="31"/>
        <v>Employee_0211</v>
      </c>
      <c r="V212" t="str">
        <f t="shared" si="32"/>
        <v>Female</v>
      </c>
      <c r="W212" t="str">
        <f t="shared" si="33"/>
        <v>It</v>
      </c>
      <c r="X212" t="str">
        <f t="shared" si="34"/>
        <v>Noida</v>
      </c>
      <c r="Y212" t="str">
        <f t="shared" si="35"/>
        <v>Valid</v>
      </c>
      <c r="Z212" t="str">
        <f t="shared" si="36"/>
        <v>Valid</v>
      </c>
      <c r="AA212" t="str">
        <f t="shared" si="37"/>
        <v>Valid</v>
      </c>
      <c r="AB212" s="9" t="str">
        <f t="shared" si="38"/>
        <v>Valid</v>
      </c>
      <c r="AC212" s="9" t="str">
        <f t="shared" si="39"/>
        <v>Valid</v>
      </c>
      <c r="AD212" s="9" t="str">
        <f>IF(AND(Y212="Valid",Z212="Valid",AA212="Valid",AB212="Valid",COUNTIF($A$2:A212,A212)=1),"Include","Exclude")</f>
        <v>Include</v>
      </c>
    </row>
    <row r="213" spans="1:30" x14ac:dyDescent="0.35">
      <c r="A213" t="s">
        <v>473</v>
      </c>
      <c r="B213" t="s">
        <v>474</v>
      </c>
      <c r="C213" t="s">
        <v>31</v>
      </c>
      <c r="D213">
        <v>21</v>
      </c>
      <c r="E213" t="s">
        <v>38</v>
      </c>
      <c r="F213" t="s">
        <v>48</v>
      </c>
      <c r="G213" t="s">
        <v>69</v>
      </c>
      <c r="H213" t="s">
        <v>70</v>
      </c>
      <c r="I213">
        <v>0</v>
      </c>
      <c r="J213">
        <v>36595</v>
      </c>
      <c r="K213" t="s">
        <v>40</v>
      </c>
      <c r="L213">
        <v>5</v>
      </c>
      <c r="M213">
        <v>35</v>
      </c>
      <c r="N213">
        <v>6</v>
      </c>
      <c r="O213" t="s">
        <v>27</v>
      </c>
      <c r="P213" t="s">
        <v>27</v>
      </c>
      <c r="Q213">
        <v>4</v>
      </c>
      <c r="R213" t="s">
        <v>27</v>
      </c>
      <c r="S213" t="s">
        <v>27</v>
      </c>
      <c r="T213" t="b">
        <f t="shared" si="30"/>
        <v>0</v>
      </c>
      <c r="U213" t="str">
        <f t="shared" si="31"/>
        <v>Employee_0212</v>
      </c>
      <c r="V213" t="str">
        <f t="shared" si="32"/>
        <v>Male</v>
      </c>
      <c r="W213" t="str">
        <f t="shared" si="33"/>
        <v>Customer Support</v>
      </c>
      <c r="X213" t="str">
        <f t="shared" si="34"/>
        <v>Bangalore</v>
      </c>
      <c r="Y213" t="str">
        <f t="shared" si="35"/>
        <v>Valid</v>
      </c>
      <c r="Z213" t="str">
        <f t="shared" si="36"/>
        <v>Valid</v>
      </c>
      <c r="AA213" t="str">
        <f t="shared" si="37"/>
        <v>Valid</v>
      </c>
      <c r="AB213" s="9" t="str">
        <f t="shared" si="38"/>
        <v>Valid</v>
      </c>
      <c r="AC213" s="9" t="str">
        <f t="shared" si="39"/>
        <v>Valid</v>
      </c>
      <c r="AD213" s="9" t="str">
        <f>IF(AND(Y213="Valid",Z213="Valid",AA213="Valid",AB213="Valid",COUNTIF($A$2:A213,A213)=1),"Include","Exclude")</f>
        <v>Include</v>
      </c>
    </row>
    <row r="214" spans="1:30" x14ac:dyDescent="0.35">
      <c r="A214" t="s">
        <v>475</v>
      </c>
      <c r="B214" t="s">
        <v>476</v>
      </c>
      <c r="C214" t="s">
        <v>31</v>
      </c>
      <c r="D214">
        <v>25</v>
      </c>
      <c r="E214" t="s">
        <v>55</v>
      </c>
      <c r="F214" t="s">
        <v>48</v>
      </c>
      <c r="G214" t="s">
        <v>24</v>
      </c>
      <c r="H214" t="s">
        <v>25</v>
      </c>
      <c r="I214">
        <v>3</v>
      </c>
      <c r="J214">
        <v>51762</v>
      </c>
      <c r="K214" t="s">
        <v>35</v>
      </c>
      <c r="L214">
        <v>5</v>
      </c>
      <c r="M214">
        <v>40</v>
      </c>
      <c r="N214">
        <v>1</v>
      </c>
      <c r="O214" t="s">
        <v>27</v>
      </c>
      <c r="P214" t="s">
        <v>27</v>
      </c>
      <c r="Q214">
        <v>2</v>
      </c>
      <c r="R214" t="s">
        <v>27</v>
      </c>
      <c r="S214" t="s">
        <v>27</v>
      </c>
      <c r="T214" t="b">
        <f t="shared" si="30"/>
        <v>0</v>
      </c>
      <c r="U214" t="str">
        <f t="shared" si="31"/>
        <v>Employee_0213</v>
      </c>
      <c r="V214" t="str">
        <f t="shared" si="32"/>
        <v>Male</v>
      </c>
      <c r="W214" t="str">
        <f t="shared" si="33"/>
        <v>Customer Support</v>
      </c>
      <c r="X214" t="str">
        <f t="shared" si="34"/>
        <v>Hyderabad</v>
      </c>
      <c r="Y214" t="str">
        <f t="shared" si="35"/>
        <v>Valid</v>
      </c>
      <c r="Z214" t="str">
        <f t="shared" si="36"/>
        <v>Valid</v>
      </c>
      <c r="AA214" t="str">
        <f t="shared" si="37"/>
        <v>Valid</v>
      </c>
      <c r="AB214" s="9" t="str">
        <f t="shared" si="38"/>
        <v>Valid</v>
      </c>
      <c r="AC214" s="9" t="str">
        <f t="shared" si="39"/>
        <v>Valid</v>
      </c>
      <c r="AD214" s="9" t="str">
        <f>IF(AND(Y214="Valid",Z214="Valid",AA214="Valid",AB214="Valid",COUNTIF($A$2:A214,A214)=1),"Include","Exclude")</f>
        <v>Include</v>
      </c>
    </row>
    <row r="215" spans="1:30" x14ac:dyDescent="0.35">
      <c r="A215" t="s">
        <v>477</v>
      </c>
      <c r="B215" t="s">
        <v>478</v>
      </c>
      <c r="C215" t="s">
        <v>21</v>
      </c>
      <c r="D215">
        <v>53</v>
      </c>
      <c r="E215" t="s">
        <v>32</v>
      </c>
      <c r="F215" t="s">
        <v>23</v>
      </c>
      <c r="G215" t="s">
        <v>24</v>
      </c>
      <c r="H215" t="s">
        <v>70</v>
      </c>
      <c r="I215">
        <v>19</v>
      </c>
      <c r="J215">
        <v>72619</v>
      </c>
      <c r="K215" t="s">
        <v>45</v>
      </c>
      <c r="L215">
        <v>5</v>
      </c>
      <c r="M215">
        <v>49</v>
      </c>
      <c r="N215">
        <v>7</v>
      </c>
      <c r="O215" t="s">
        <v>27</v>
      </c>
      <c r="P215" t="s">
        <v>27</v>
      </c>
      <c r="Q215">
        <v>2</v>
      </c>
      <c r="R215" t="s">
        <v>27</v>
      </c>
      <c r="S215" t="s">
        <v>27</v>
      </c>
      <c r="T215" t="b">
        <f t="shared" si="30"/>
        <v>0</v>
      </c>
      <c r="U215" t="str">
        <f t="shared" si="31"/>
        <v>Employee_0214</v>
      </c>
      <c r="V215" t="str">
        <f t="shared" si="32"/>
        <v>Female</v>
      </c>
      <c r="W215" t="str">
        <f t="shared" si="33"/>
        <v>Finance</v>
      </c>
      <c r="X215" t="str">
        <f t="shared" si="34"/>
        <v>Bangalore</v>
      </c>
      <c r="Y215" t="str">
        <f t="shared" si="35"/>
        <v>Valid</v>
      </c>
      <c r="Z215" t="str">
        <f t="shared" si="36"/>
        <v>Valid</v>
      </c>
      <c r="AA215" t="str">
        <f t="shared" si="37"/>
        <v>Valid</v>
      </c>
      <c r="AB215" s="9" t="str">
        <f t="shared" si="38"/>
        <v>Valid</v>
      </c>
      <c r="AC215" s="9" t="str">
        <f t="shared" si="39"/>
        <v>Valid</v>
      </c>
      <c r="AD215" s="9" t="str">
        <f>IF(AND(Y215="Valid",Z215="Valid",AA215="Valid",AB215="Valid",COUNTIF($A$2:A215,A215)=1),"Include","Exclude")</f>
        <v>Include</v>
      </c>
    </row>
    <row r="216" spans="1:30" x14ac:dyDescent="0.35">
      <c r="A216" t="s">
        <v>479</v>
      </c>
      <c r="B216" t="s">
        <v>480</v>
      </c>
      <c r="C216" t="s">
        <v>21</v>
      </c>
      <c r="D216">
        <v>47</v>
      </c>
      <c r="E216" t="s">
        <v>55</v>
      </c>
      <c r="F216" t="s">
        <v>23</v>
      </c>
      <c r="G216" t="s">
        <v>24</v>
      </c>
      <c r="H216" t="s">
        <v>61</v>
      </c>
      <c r="I216">
        <v>11</v>
      </c>
      <c r="J216">
        <v>80288</v>
      </c>
      <c r="K216" t="s">
        <v>26</v>
      </c>
      <c r="L216">
        <v>1</v>
      </c>
      <c r="M216">
        <v>27</v>
      </c>
      <c r="N216">
        <v>2</v>
      </c>
      <c r="O216" t="s">
        <v>27</v>
      </c>
      <c r="P216" t="s">
        <v>27</v>
      </c>
      <c r="Q216">
        <v>3</v>
      </c>
      <c r="R216" t="s">
        <v>27</v>
      </c>
      <c r="S216" t="s">
        <v>27</v>
      </c>
      <c r="T216" t="b">
        <f t="shared" si="30"/>
        <v>0</v>
      </c>
      <c r="U216" t="str">
        <f t="shared" si="31"/>
        <v>Employee_0215</v>
      </c>
      <c r="V216" t="str">
        <f t="shared" si="32"/>
        <v>Female</v>
      </c>
      <c r="W216" t="str">
        <f t="shared" si="33"/>
        <v>Finance</v>
      </c>
      <c r="X216" t="str">
        <f t="shared" si="34"/>
        <v>Noida</v>
      </c>
      <c r="Y216" t="str">
        <f t="shared" si="35"/>
        <v>Valid</v>
      </c>
      <c r="Z216" t="str">
        <f t="shared" si="36"/>
        <v>Valid</v>
      </c>
      <c r="AA216" t="str">
        <f t="shared" si="37"/>
        <v>Valid</v>
      </c>
      <c r="AB216" s="9" t="str">
        <f t="shared" si="38"/>
        <v>Valid</v>
      </c>
      <c r="AC216" s="9" t="str">
        <f t="shared" si="39"/>
        <v>Valid</v>
      </c>
      <c r="AD216" s="9" t="str">
        <f>IF(AND(Y216="Valid",Z216="Valid",AA216="Valid",AB216="Valid",COUNTIF($A$2:A216,A216)=1),"Include","Exclude")</f>
        <v>Include</v>
      </c>
    </row>
    <row r="217" spans="1:30" x14ac:dyDescent="0.35">
      <c r="A217" t="s">
        <v>481</v>
      </c>
      <c r="B217" t="s">
        <v>482</v>
      </c>
      <c r="C217" t="s">
        <v>31</v>
      </c>
      <c r="D217">
        <v>36</v>
      </c>
      <c r="E217" t="s">
        <v>55</v>
      </c>
      <c r="F217" t="s">
        <v>39</v>
      </c>
      <c r="G217" t="s">
        <v>24</v>
      </c>
      <c r="H217" t="s">
        <v>34</v>
      </c>
      <c r="I217">
        <v>10</v>
      </c>
      <c r="J217">
        <v>35719</v>
      </c>
      <c r="K217" t="s">
        <v>45</v>
      </c>
      <c r="L217">
        <v>5</v>
      </c>
      <c r="M217">
        <v>10</v>
      </c>
      <c r="N217">
        <v>3</v>
      </c>
      <c r="O217" t="s">
        <v>28</v>
      </c>
      <c r="P217" t="s">
        <v>28</v>
      </c>
      <c r="Q217">
        <v>3</v>
      </c>
      <c r="R217" t="s">
        <v>27</v>
      </c>
      <c r="S217" t="s">
        <v>28</v>
      </c>
      <c r="T217" t="b">
        <f t="shared" si="30"/>
        <v>0</v>
      </c>
      <c r="U217" t="str">
        <f t="shared" si="31"/>
        <v>Employee_0216</v>
      </c>
      <c r="V217" t="str">
        <f t="shared" si="32"/>
        <v>Male</v>
      </c>
      <c r="W217" t="str">
        <f t="shared" si="33"/>
        <v>Operations</v>
      </c>
      <c r="X217" t="str">
        <f t="shared" si="34"/>
        <v>Gurgaon</v>
      </c>
      <c r="Y217" t="str">
        <f t="shared" si="35"/>
        <v>Valid</v>
      </c>
      <c r="Z217" t="str">
        <f t="shared" si="36"/>
        <v>Valid</v>
      </c>
      <c r="AA217" t="str">
        <f t="shared" si="37"/>
        <v>Valid</v>
      </c>
      <c r="AB217" s="9" t="str">
        <f t="shared" si="38"/>
        <v>Valid</v>
      </c>
      <c r="AC217" s="9" t="str">
        <f t="shared" si="39"/>
        <v>Valid</v>
      </c>
      <c r="AD217" s="9" t="str">
        <f>IF(AND(Y217="Valid",Z217="Valid",AA217="Valid",AB217="Valid",COUNTIF($A$2:A217,A217)=1),"Include","Exclude")</f>
        <v>Include</v>
      </c>
    </row>
    <row r="218" spans="1:30" x14ac:dyDescent="0.35">
      <c r="A218" t="s">
        <v>483</v>
      </c>
      <c r="B218" t="s">
        <v>484</v>
      </c>
      <c r="C218" t="s">
        <v>31</v>
      </c>
      <c r="D218">
        <v>22</v>
      </c>
      <c r="E218" t="s">
        <v>55</v>
      </c>
      <c r="F218" t="s">
        <v>39</v>
      </c>
      <c r="G218" t="s">
        <v>24</v>
      </c>
      <c r="H218" t="s">
        <v>52</v>
      </c>
      <c r="I218">
        <v>1</v>
      </c>
      <c r="J218">
        <v>53760</v>
      </c>
      <c r="K218" t="s">
        <v>45</v>
      </c>
      <c r="L218">
        <v>7</v>
      </c>
      <c r="M218">
        <v>0</v>
      </c>
      <c r="N218">
        <v>6</v>
      </c>
      <c r="O218" t="s">
        <v>28</v>
      </c>
      <c r="P218" t="s">
        <v>28</v>
      </c>
      <c r="Q218">
        <v>3</v>
      </c>
      <c r="R218" t="s">
        <v>28</v>
      </c>
      <c r="S218" t="s">
        <v>27</v>
      </c>
      <c r="T218" t="b">
        <f t="shared" si="30"/>
        <v>0</v>
      </c>
      <c r="U218" t="str">
        <f t="shared" si="31"/>
        <v>Employee_0217</v>
      </c>
      <c r="V218" t="str">
        <f t="shared" si="32"/>
        <v>Male</v>
      </c>
      <c r="W218" t="str">
        <f t="shared" si="33"/>
        <v>Operations</v>
      </c>
      <c r="X218" t="str">
        <f t="shared" si="34"/>
        <v>Mumbai</v>
      </c>
      <c r="Y218" t="str">
        <f t="shared" si="35"/>
        <v>Valid</v>
      </c>
      <c r="Z218" t="str">
        <f t="shared" si="36"/>
        <v>Valid</v>
      </c>
      <c r="AA218" t="str">
        <f t="shared" si="37"/>
        <v>Valid</v>
      </c>
      <c r="AB218" s="9" t="str">
        <f t="shared" si="38"/>
        <v>Valid</v>
      </c>
      <c r="AC218" s="9" t="str">
        <f t="shared" si="39"/>
        <v>Valid</v>
      </c>
      <c r="AD218" s="9" t="str">
        <f>IF(AND(Y218="Valid",Z218="Valid",AA218="Valid",AB218="Valid",COUNTIF($A$2:A218,A218)=1),"Include","Exclude")</f>
        <v>Include</v>
      </c>
    </row>
    <row r="219" spans="1:30" x14ac:dyDescent="0.35">
      <c r="A219" t="s">
        <v>485</v>
      </c>
      <c r="B219" t="s">
        <v>486</v>
      </c>
      <c r="C219" t="s">
        <v>31</v>
      </c>
      <c r="D219">
        <v>30</v>
      </c>
      <c r="E219" t="s">
        <v>22</v>
      </c>
      <c r="F219" t="s">
        <v>23</v>
      </c>
      <c r="G219" t="s">
        <v>69</v>
      </c>
      <c r="H219" t="s">
        <v>131</v>
      </c>
      <c r="I219">
        <v>4</v>
      </c>
      <c r="J219">
        <v>57859</v>
      </c>
      <c r="K219" t="s">
        <v>26</v>
      </c>
      <c r="L219">
        <v>5</v>
      </c>
      <c r="M219">
        <v>34</v>
      </c>
      <c r="N219">
        <v>2</v>
      </c>
      <c r="O219" t="s">
        <v>27</v>
      </c>
      <c r="P219" t="s">
        <v>27</v>
      </c>
      <c r="Q219">
        <v>5</v>
      </c>
      <c r="R219" t="s">
        <v>27</v>
      </c>
      <c r="S219" t="s">
        <v>27</v>
      </c>
      <c r="T219" t="b">
        <f t="shared" si="30"/>
        <v>0</v>
      </c>
      <c r="U219" t="str">
        <f t="shared" si="31"/>
        <v>Employee_0218</v>
      </c>
      <c r="V219" t="str">
        <f t="shared" si="32"/>
        <v>Male</v>
      </c>
      <c r="W219" t="str">
        <f t="shared" si="33"/>
        <v>Finance</v>
      </c>
      <c r="X219" t="str">
        <f t="shared" si="34"/>
        <v>Pune</v>
      </c>
      <c r="Y219" t="str">
        <f t="shared" si="35"/>
        <v>Valid</v>
      </c>
      <c r="Z219" t="str">
        <f t="shared" si="36"/>
        <v>Valid</v>
      </c>
      <c r="AA219" t="str">
        <f t="shared" si="37"/>
        <v>Valid</v>
      </c>
      <c r="AB219" s="9" t="str">
        <f t="shared" si="38"/>
        <v>Valid</v>
      </c>
      <c r="AC219" s="9" t="str">
        <f t="shared" si="39"/>
        <v>Valid</v>
      </c>
      <c r="AD219" s="9" t="str">
        <f>IF(AND(Y219="Valid",Z219="Valid",AA219="Valid",AB219="Valid",COUNTIF($A$2:A219,A219)=1),"Include","Exclude")</f>
        <v>Include</v>
      </c>
    </row>
    <row r="220" spans="1:30" x14ac:dyDescent="0.35">
      <c r="A220" t="s">
        <v>487</v>
      </c>
      <c r="B220" t="s">
        <v>488</v>
      </c>
      <c r="C220" t="s">
        <v>31</v>
      </c>
      <c r="D220">
        <v>39</v>
      </c>
      <c r="E220" t="s">
        <v>55</v>
      </c>
      <c r="F220" t="s">
        <v>43</v>
      </c>
      <c r="G220" t="s">
        <v>69</v>
      </c>
      <c r="H220" t="s">
        <v>52</v>
      </c>
      <c r="I220">
        <v>12</v>
      </c>
      <c r="J220">
        <v>72124</v>
      </c>
      <c r="K220" t="s">
        <v>26</v>
      </c>
      <c r="L220">
        <v>6</v>
      </c>
      <c r="M220">
        <v>34</v>
      </c>
      <c r="N220">
        <v>4</v>
      </c>
      <c r="O220" t="s">
        <v>28</v>
      </c>
      <c r="P220" t="s">
        <v>28</v>
      </c>
      <c r="Q220">
        <v>2</v>
      </c>
      <c r="R220" t="s">
        <v>28</v>
      </c>
      <c r="S220" t="s">
        <v>27</v>
      </c>
      <c r="T220" t="b">
        <f t="shared" si="30"/>
        <v>0</v>
      </c>
      <c r="U220" t="str">
        <f t="shared" si="31"/>
        <v>Employee_0219</v>
      </c>
      <c r="V220" t="str">
        <f t="shared" si="32"/>
        <v>Male</v>
      </c>
      <c r="W220" t="str">
        <f t="shared" si="33"/>
        <v>It</v>
      </c>
      <c r="X220" t="str">
        <f t="shared" si="34"/>
        <v>Mumbai</v>
      </c>
      <c r="Y220" t="str">
        <f t="shared" si="35"/>
        <v>Valid</v>
      </c>
      <c r="Z220" t="str">
        <f t="shared" si="36"/>
        <v>Valid</v>
      </c>
      <c r="AA220" t="str">
        <f t="shared" si="37"/>
        <v>Valid</v>
      </c>
      <c r="AB220" s="9" t="str">
        <f t="shared" si="38"/>
        <v>Valid</v>
      </c>
      <c r="AC220" s="9" t="str">
        <f t="shared" si="39"/>
        <v>Valid</v>
      </c>
      <c r="AD220" s="9" t="str">
        <f>IF(AND(Y220="Valid",Z220="Valid",AA220="Valid",AB220="Valid",COUNTIF($A$2:A220,A220)=1),"Include","Exclude")</f>
        <v>Include</v>
      </c>
    </row>
    <row r="221" spans="1:30" x14ac:dyDescent="0.35">
      <c r="A221" t="s">
        <v>489</v>
      </c>
      <c r="B221" t="s">
        <v>490</v>
      </c>
      <c r="C221" t="s">
        <v>21</v>
      </c>
      <c r="D221">
        <v>27</v>
      </c>
      <c r="E221" t="s">
        <v>38</v>
      </c>
      <c r="F221" t="s">
        <v>43</v>
      </c>
      <c r="G221" t="s">
        <v>24</v>
      </c>
      <c r="H221" t="s">
        <v>25</v>
      </c>
      <c r="I221">
        <v>3</v>
      </c>
      <c r="J221">
        <v>63457</v>
      </c>
      <c r="K221" t="s">
        <v>35</v>
      </c>
      <c r="L221">
        <v>9</v>
      </c>
      <c r="M221">
        <v>34</v>
      </c>
      <c r="N221">
        <v>6</v>
      </c>
      <c r="O221" t="s">
        <v>28</v>
      </c>
      <c r="P221" t="s">
        <v>27</v>
      </c>
      <c r="Q221">
        <v>3</v>
      </c>
      <c r="R221" t="s">
        <v>27</v>
      </c>
      <c r="S221" t="s">
        <v>27</v>
      </c>
      <c r="T221" t="b">
        <f t="shared" si="30"/>
        <v>0</v>
      </c>
      <c r="U221" t="str">
        <f t="shared" si="31"/>
        <v>Employee_0220</v>
      </c>
      <c r="V221" t="str">
        <f t="shared" si="32"/>
        <v>Female</v>
      </c>
      <c r="W221" t="str">
        <f t="shared" si="33"/>
        <v>It</v>
      </c>
      <c r="X221" t="str">
        <f t="shared" si="34"/>
        <v>Hyderabad</v>
      </c>
      <c r="Y221" t="str">
        <f t="shared" si="35"/>
        <v>Valid</v>
      </c>
      <c r="Z221" t="str">
        <f t="shared" si="36"/>
        <v>Valid</v>
      </c>
      <c r="AA221" t="str">
        <f t="shared" si="37"/>
        <v>Valid</v>
      </c>
      <c r="AB221" s="9" t="str">
        <f t="shared" si="38"/>
        <v>Valid</v>
      </c>
      <c r="AC221" s="9" t="str">
        <f t="shared" si="39"/>
        <v>Valid</v>
      </c>
      <c r="AD221" s="9" t="str">
        <f>IF(AND(Y221="Valid",Z221="Valid",AA221="Valid",AB221="Valid",COUNTIF($A$2:A221,A221)=1),"Include","Exclude")</f>
        <v>Include</v>
      </c>
    </row>
    <row r="222" spans="1:30" hidden="1" x14ac:dyDescent="0.35">
      <c r="A222" t="s">
        <v>491</v>
      </c>
      <c r="B222" t="s">
        <v>492</v>
      </c>
      <c r="C222" t="s">
        <v>31</v>
      </c>
      <c r="D222">
        <v>48</v>
      </c>
      <c r="E222" t="s">
        <v>38</v>
      </c>
      <c r="F222" t="s">
        <v>39</v>
      </c>
      <c r="G222" t="s">
        <v>69</v>
      </c>
      <c r="H222" t="s">
        <v>70</v>
      </c>
      <c r="I222">
        <v>15</v>
      </c>
      <c r="J222">
        <v>66084</v>
      </c>
      <c r="K222" t="s">
        <v>45</v>
      </c>
      <c r="L222">
        <v>6</v>
      </c>
      <c r="M222">
        <v>-5</v>
      </c>
      <c r="N222">
        <v>3</v>
      </c>
      <c r="O222" t="s">
        <v>28</v>
      </c>
      <c r="P222" t="s">
        <v>28</v>
      </c>
      <c r="Q222">
        <v>4</v>
      </c>
      <c r="R222" t="s">
        <v>28</v>
      </c>
      <c r="S222" t="s">
        <v>27</v>
      </c>
      <c r="T222" t="b">
        <f t="shared" si="30"/>
        <v>0</v>
      </c>
      <c r="U222" t="str">
        <f t="shared" si="31"/>
        <v>Employee_0221</v>
      </c>
      <c r="V222" t="str">
        <f t="shared" si="32"/>
        <v>Male</v>
      </c>
      <c r="W222" t="str">
        <f t="shared" si="33"/>
        <v>Operations</v>
      </c>
      <c r="X222" t="str">
        <f t="shared" si="34"/>
        <v>Bangalore</v>
      </c>
      <c r="Y222" t="str">
        <f t="shared" si="35"/>
        <v>Valid</v>
      </c>
      <c r="Z222" t="str">
        <f t="shared" si="36"/>
        <v>Valid</v>
      </c>
      <c r="AA222" t="str">
        <f t="shared" si="37"/>
        <v>Check</v>
      </c>
      <c r="AB222" s="9" t="str">
        <f t="shared" si="38"/>
        <v>Valid</v>
      </c>
      <c r="AC222" s="9" t="str">
        <f t="shared" si="39"/>
        <v>Check</v>
      </c>
      <c r="AD222" s="9" t="str">
        <f>IF(AND(Y222="Valid",Z222="Valid",AA222="Valid",AB222="Valid",COUNTIF($A$2:A222,A222)=1),"Include","Exclude")</f>
        <v>Exclude</v>
      </c>
    </row>
    <row r="223" spans="1:30" x14ac:dyDescent="0.35">
      <c r="A223" t="s">
        <v>493</v>
      </c>
      <c r="B223" t="s">
        <v>494</v>
      </c>
      <c r="C223" t="s">
        <v>31</v>
      </c>
      <c r="D223">
        <v>39</v>
      </c>
      <c r="E223" t="s">
        <v>55</v>
      </c>
      <c r="F223" t="s">
        <v>60</v>
      </c>
      <c r="G223" t="s">
        <v>24</v>
      </c>
      <c r="H223" t="s">
        <v>52</v>
      </c>
      <c r="I223">
        <v>15</v>
      </c>
      <c r="J223">
        <v>64085</v>
      </c>
      <c r="K223" t="s">
        <v>35</v>
      </c>
      <c r="L223">
        <v>3</v>
      </c>
      <c r="M223">
        <v>18</v>
      </c>
      <c r="N223">
        <v>3</v>
      </c>
      <c r="O223" t="s">
        <v>27</v>
      </c>
      <c r="P223" t="s">
        <v>27</v>
      </c>
      <c r="Q223">
        <v>1</v>
      </c>
      <c r="R223" t="s">
        <v>27</v>
      </c>
      <c r="S223" t="s">
        <v>27</v>
      </c>
      <c r="T223" t="b">
        <f t="shared" si="30"/>
        <v>0</v>
      </c>
      <c r="U223" t="str">
        <f t="shared" si="31"/>
        <v>Employee_0222</v>
      </c>
      <c r="V223" t="str">
        <f t="shared" si="32"/>
        <v>Male</v>
      </c>
      <c r="W223" t="str">
        <f t="shared" si="33"/>
        <v>Hr</v>
      </c>
      <c r="X223" t="str">
        <f t="shared" si="34"/>
        <v>Mumbai</v>
      </c>
      <c r="Y223" t="str">
        <f t="shared" si="35"/>
        <v>Valid</v>
      </c>
      <c r="Z223" t="str">
        <f t="shared" si="36"/>
        <v>Valid</v>
      </c>
      <c r="AA223" t="str">
        <f t="shared" si="37"/>
        <v>Valid</v>
      </c>
      <c r="AB223" s="9" t="str">
        <f t="shared" si="38"/>
        <v>Valid</v>
      </c>
      <c r="AC223" s="9" t="str">
        <f t="shared" si="39"/>
        <v>Valid</v>
      </c>
      <c r="AD223" s="9" t="str">
        <f>IF(AND(Y223="Valid",Z223="Valid",AA223="Valid",AB223="Valid",COUNTIF($A$2:A223,A223)=1),"Include","Exclude")</f>
        <v>Include</v>
      </c>
    </row>
    <row r="224" spans="1:30" x14ac:dyDescent="0.35">
      <c r="A224" t="s">
        <v>495</v>
      </c>
      <c r="B224" t="s">
        <v>496</v>
      </c>
      <c r="C224" t="s">
        <v>21</v>
      </c>
      <c r="D224">
        <v>55</v>
      </c>
      <c r="E224" t="s">
        <v>32</v>
      </c>
      <c r="F224" t="s">
        <v>39</v>
      </c>
      <c r="G224" t="s">
        <v>69</v>
      </c>
      <c r="H224" t="s">
        <v>49</v>
      </c>
      <c r="I224">
        <v>15</v>
      </c>
      <c r="J224">
        <v>59803</v>
      </c>
      <c r="K224" t="s">
        <v>26</v>
      </c>
      <c r="L224">
        <v>5</v>
      </c>
      <c r="M224">
        <v>25</v>
      </c>
      <c r="N224">
        <v>4</v>
      </c>
      <c r="O224" t="s">
        <v>27</v>
      </c>
      <c r="P224" t="s">
        <v>27</v>
      </c>
      <c r="Q224">
        <v>1</v>
      </c>
      <c r="R224" t="s">
        <v>27</v>
      </c>
      <c r="S224" t="s">
        <v>27</v>
      </c>
      <c r="T224" t="b">
        <f t="shared" si="30"/>
        <v>0</v>
      </c>
      <c r="U224" t="str">
        <f t="shared" si="31"/>
        <v>Employee_0223</v>
      </c>
      <c r="V224" t="str">
        <f t="shared" si="32"/>
        <v>Female</v>
      </c>
      <c r="W224" t="str">
        <f t="shared" si="33"/>
        <v>Operations</v>
      </c>
      <c r="X224" t="str">
        <f t="shared" si="34"/>
        <v>Delhi</v>
      </c>
      <c r="Y224" t="str">
        <f t="shared" si="35"/>
        <v>Valid</v>
      </c>
      <c r="Z224" t="str">
        <f t="shared" si="36"/>
        <v>Valid</v>
      </c>
      <c r="AA224" t="str">
        <f t="shared" si="37"/>
        <v>Valid</v>
      </c>
      <c r="AB224" s="9" t="str">
        <f t="shared" si="38"/>
        <v>Valid</v>
      </c>
      <c r="AC224" s="9" t="str">
        <f t="shared" si="39"/>
        <v>Valid</v>
      </c>
      <c r="AD224" s="9" t="str">
        <f>IF(AND(Y224="Valid",Z224="Valid",AA224="Valid",AB224="Valid",COUNTIF($A$2:A224,A224)=1),"Include","Exclude")</f>
        <v>Include</v>
      </c>
    </row>
    <row r="225" spans="1:30" x14ac:dyDescent="0.35">
      <c r="A225" t="s">
        <v>497</v>
      </c>
      <c r="B225" t="s">
        <v>498</v>
      </c>
      <c r="C225" t="s">
        <v>31</v>
      </c>
      <c r="D225">
        <v>50</v>
      </c>
      <c r="E225" t="s">
        <v>38</v>
      </c>
      <c r="F225" t="s">
        <v>23</v>
      </c>
      <c r="G225" t="s">
        <v>24</v>
      </c>
      <c r="H225" t="s">
        <v>70</v>
      </c>
      <c r="I225">
        <v>14</v>
      </c>
      <c r="J225">
        <v>72019</v>
      </c>
      <c r="K225" t="s">
        <v>45</v>
      </c>
      <c r="L225">
        <v>7</v>
      </c>
      <c r="M225">
        <v>46</v>
      </c>
      <c r="N225">
        <v>1</v>
      </c>
      <c r="O225" t="s">
        <v>27</v>
      </c>
      <c r="P225" t="s">
        <v>28</v>
      </c>
      <c r="Q225">
        <v>4</v>
      </c>
      <c r="R225" t="s">
        <v>27</v>
      </c>
      <c r="S225" t="s">
        <v>27</v>
      </c>
      <c r="T225" t="b">
        <f t="shared" si="30"/>
        <v>0</v>
      </c>
      <c r="U225" t="str">
        <f t="shared" si="31"/>
        <v>Employee_0224</v>
      </c>
      <c r="V225" t="str">
        <f t="shared" si="32"/>
        <v>Male</v>
      </c>
      <c r="W225" t="str">
        <f t="shared" si="33"/>
        <v>Finance</v>
      </c>
      <c r="X225" t="str">
        <f t="shared" si="34"/>
        <v>Bangalore</v>
      </c>
      <c r="Y225" t="str">
        <f t="shared" si="35"/>
        <v>Valid</v>
      </c>
      <c r="Z225" t="str">
        <f t="shared" si="36"/>
        <v>Valid</v>
      </c>
      <c r="AA225" t="str">
        <f t="shared" si="37"/>
        <v>Valid</v>
      </c>
      <c r="AB225" s="9" t="str">
        <f t="shared" si="38"/>
        <v>Valid</v>
      </c>
      <c r="AC225" s="9" t="str">
        <f t="shared" si="39"/>
        <v>Valid</v>
      </c>
      <c r="AD225" s="9" t="str">
        <f>IF(AND(Y225="Valid",Z225="Valid",AA225="Valid",AB225="Valid",COUNTIF($A$2:A225,A225)=1),"Include","Exclude")</f>
        <v>Include</v>
      </c>
    </row>
    <row r="226" spans="1:30" x14ac:dyDescent="0.35">
      <c r="A226" t="s">
        <v>499</v>
      </c>
      <c r="B226" t="s">
        <v>500</v>
      </c>
      <c r="C226" t="s">
        <v>21</v>
      </c>
      <c r="D226">
        <v>49</v>
      </c>
      <c r="E226" t="s">
        <v>38</v>
      </c>
      <c r="F226" t="s">
        <v>33</v>
      </c>
      <c r="G226" t="s">
        <v>24</v>
      </c>
      <c r="H226" t="s">
        <v>34</v>
      </c>
      <c r="I226">
        <v>13</v>
      </c>
      <c r="J226">
        <v>65653</v>
      </c>
      <c r="K226" t="s">
        <v>26</v>
      </c>
      <c r="L226">
        <v>4</v>
      </c>
      <c r="M226">
        <v>22</v>
      </c>
      <c r="N226">
        <v>2</v>
      </c>
      <c r="O226" t="s">
        <v>27</v>
      </c>
      <c r="P226" t="s">
        <v>27</v>
      </c>
      <c r="Q226">
        <v>3</v>
      </c>
      <c r="R226" t="s">
        <v>27</v>
      </c>
      <c r="S226" t="s">
        <v>27</v>
      </c>
      <c r="T226" t="b">
        <f t="shared" si="30"/>
        <v>0</v>
      </c>
      <c r="U226" t="str">
        <f t="shared" si="31"/>
        <v>Employee_0225</v>
      </c>
      <c r="V226" t="str">
        <f t="shared" si="32"/>
        <v>Female</v>
      </c>
      <c r="W226" t="str">
        <f t="shared" si="33"/>
        <v>Sales</v>
      </c>
      <c r="X226" t="str">
        <f t="shared" si="34"/>
        <v>Gurgaon</v>
      </c>
      <c r="Y226" t="str">
        <f t="shared" si="35"/>
        <v>Valid</v>
      </c>
      <c r="Z226" t="str">
        <f t="shared" si="36"/>
        <v>Valid</v>
      </c>
      <c r="AA226" t="str">
        <f t="shared" si="37"/>
        <v>Valid</v>
      </c>
      <c r="AB226" s="9" t="str">
        <f t="shared" si="38"/>
        <v>Valid</v>
      </c>
      <c r="AC226" s="9" t="str">
        <f t="shared" si="39"/>
        <v>Valid</v>
      </c>
      <c r="AD226" s="9" t="str">
        <f>IF(AND(Y226="Valid",Z226="Valid",AA226="Valid",AB226="Valid",COUNTIF($A$2:A226,A226)=1),"Include","Exclude")</f>
        <v>Include</v>
      </c>
    </row>
    <row r="227" spans="1:30" x14ac:dyDescent="0.35">
      <c r="A227" t="s">
        <v>501</v>
      </c>
      <c r="B227" t="s">
        <v>502</v>
      </c>
      <c r="C227" t="s">
        <v>31</v>
      </c>
      <c r="D227">
        <v>29</v>
      </c>
      <c r="E227" t="s">
        <v>32</v>
      </c>
      <c r="F227" t="s">
        <v>48</v>
      </c>
      <c r="G227" t="s">
        <v>24</v>
      </c>
      <c r="H227" t="s">
        <v>25</v>
      </c>
      <c r="I227">
        <v>6</v>
      </c>
      <c r="J227">
        <v>47924</v>
      </c>
      <c r="K227" t="s">
        <v>35</v>
      </c>
      <c r="L227">
        <v>4</v>
      </c>
      <c r="M227">
        <v>40</v>
      </c>
      <c r="N227">
        <v>4</v>
      </c>
      <c r="O227" t="s">
        <v>27</v>
      </c>
      <c r="P227" t="s">
        <v>27</v>
      </c>
      <c r="Q227">
        <v>5</v>
      </c>
      <c r="R227" t="s">
        <v>27</v>
      </c>
      <c r="S227" t="s">
        <v>27</v>
      </c>
      <c r="T227" t="b">
        <f t="shared" si="30"/>
        <v>0</v>
      </c>
      <c r="U227" t="str">
        <f t="shared" si="31"/>
        <v>Employee_0226</v>
      </c>
      <c r="V227" t="str">
        <f t="shared" si="32"/>
        <v>Male</v>
      </c>
      <c r="W227" t="str">
        <f t="shared" si="33"/>
        <v>Customer Support</v>
      </c>
      <c r="X227" t="str">
        <f t="shared" si="34"/>
        <v>Hyderabad</v>
      </c>
      <c r="Y227" t="str">
        <f t="shared" si="35"/>
        <v>Valid</v>
      </c>
      <c r="Z227" t="str">
        <f t="shared" si="36"/>
        <v>Valid</v>
      </c>
      <c r="AA227" t="str">
        <f t="shared" si="37"/>
        <v>Valid</v>
      </c>
      <c r="AB227" s="9" t="str">
        <f t="shared" si="38"/>
        <v>Valid</v>
      </c>
      <c r="AC227" s="9" t="str">
        <f t="shared" si="39"/>
        <v>Valid</v>
      </c>
      <c r="AD227" s="9" t="str">
        <f>IF(AND(Y227="Valid",Z227="Valid",AA227="Valid",AB227="Valid",COUNTIF($A$2:A227,A227)=1),"Include","Exclude")</f>
        <v>Include</v>
      </c>
    </row>
    <row r="228" spans="1:30" x14ac:dyDescent="0.35">
      <c r="A228" t="s">
        <v>503</v>
      </c>
      <c r="B228" t="s">
        <v>504</v>
      </c>
      <c r="C228" t="s">
        <v>21</v>
      </c>
      <c r="D228">
        <v>50</v>
      </c>
      <c r="E228" t="s">
        <v>38</v>
      </c>
      <c r="F228" t="s">
        <v>39</v>
      </c>
      <c r="G228" t="s">
        <v>24</v>
      </c>
      <c r="H228" t="s">
        <v>70</v>
      </c>
      <c r="I228">
        <v>14</v>
      </c>
      <c r="J228">
        <v>66450</v>
      </c>
      <c r="K228" t="s">
        <v>45</v>
      </c>
      <c r="L228">
        <v>8</v>
      </c>
      <c r="M228">
        <v>35</v>
      </c>
      <c r="N228">
        <v>1</v>
      </c>
      <c r="O228" t="s">
        <v>27</v>
      </c>
      <c r="P228" t="s">
        <v>27</v>
      </c>
      <c r="Q228">
        <v>5</v>
      </c>
      <c r="R228" t="s">
        <v>28</v>
      </c>
      <c r="S228" t="s">
        <v>27</v>
      </c>
      <c r="T228" t="b">
        <f t="shared" si="30"/>
        <v>0</v>
      </c>
      <c r="U228" t="str">
        <f t="shared" si="31"/>
        <v>Employee_0227</v>
      </c>
      <c r="V228" t="str">
        <f t="shared" si="32"/>
        <v>Female</v>
      </c>
      <c r="W228" t="str">
        <f t="shared" si="33"/>
        <v>Operations</v>
      </c>
      <c r="X228" t="str">
        <f t="shared" si="34"/>
        <v>Bangalore</v>
      </c>
      <c r="Y228" t="str">
        <f t="shared" si="35"/>
        <v>Valid</v>
      </c>
      <c r="Z228" t="str">
        <f t="shared" si="36"/>
        <v>Valid</v>
      </c>
      <c r="AA228" t="str">
        <f t="shared" si="37"/>
        <v>Valid</v>
      </c>
      <c r="AB228" s="9" t="str">
        <f t="shared" si="38"/>
        <v>Valid</v>
      </c>
      <c r="AC228" s="9" t="str">
        <f t="shared" si="39"/>
        <v>Valid</v>
      </c>
      <c r="AD228" s="9" t="str">
        <f>IF(AND(Y228="Valid",Z228="Valid",AA228="Valid",AB228="Valid",COUNTIF($A$2:A228,A228)=1),"Include","Exclude")</f>
        <v>Include</v>
      </c>
    </row>
    <row r="229" spans="1:30" x14ac:dyDescent="0.35">
      <c r="A229" t="s">
        <v>505</v>
      </c>
      <c r="B229" t="s">
        <v>506</v>
      </c>
      <c r="C229" t="s">
        <v>21</v>
      </c>
      <c r="D229">
        <v>30</v>
      </c>
      <c r="E229" t="s">
        <v>55</v>
      </c>
      <c r="F229" t="s">
        <v>64</v>
      </c>
      <c r="G229" t="s">
        <v>24</v>
      </c>
      <c r="H229" t="s">
        <v>70</v>
      </c>
      <c r="I229">
        <v>7</v>
      </c>
      <c r="J229">
        <v>69756</v>
      </c>
      <c r="K229" t="s">
        <v>26</v>
      </c>
      <c r="L229">
        <v>5</v>
      </c>
      <c r="M229">
        <v>38</v>
      </c>
      <c r="N229">
        <v>5</v>
      </c>
      <c r="O229" t="s">
        <v>27</v>
      </c>
      <c r="P229" t="s">
        <v>28</v>
      </c>
      <c r="Q229">
        <v>3</v>
      </c>
      <c r="R229" t="s">
        <v>27</v>
      </c>
      <c r="S229" t="s">
        <v>27</v>
      </c>
      <c r="T229" t="b">
        <f t="shared" si="30"/>
        <v>0</v>
      </c>
      <c r="U229" t="str">
        <f t="shared" si="31"/>
        <v>Employee_0228</v>
      </c>
      <c r="V229" t="str">
        <f t="shared" si="32"/>
        <v>Female</v>
      </c>
      <c r="W229" t="str">
        <f t="shared" si="33"/>
        <v>Marketing</v>
      </c>
      <c r="X229" t="str">
        <f t="shared" si="34"/>
        <v>Bangalore</v>
      </c>
      <c r="Y229" t="str">
        <f t="shared" si="35"/>
        <v>Valid</v>
      </c>
      <c r="Z229" t="str">
        <f t="shared" si="36"/>
        <v>Valid</v>
      </c>
      <c r="AA229" t="str">
        <f t="shared" si="37"/>
        <v>Valid</v>
      </c>
      <c r="AB229" s="9" t="str">
        <f t="shared" si="38"/>
        <v>Valid</v>
      </c>
      <c r="AC229" s="9" t="str">
        <f t="shared" si="39"/>
        <v>Valid</v>
      </c>
      <c r="AD229" s="9" t="str">
        <f>IF(AND(Y229="Valid",Z229="Valid",AA229="Valid",AB229="Valid",COUNTIF($A$2:A229,A229)=1),"Include","Exclude")</f>
        <v>Include</v>
      </c>
    </row>
    <row r="230" spans="1:30" x14ac:dyDescent="0.35">
      <c r="A230" t="s">
        <v>507</v>
      </c>
      <c r="B230" t="s">
        <v>508</v>
      </c>
      <c r="C230" t="s">
        <v>21</v>
      </c>
      <c r="D230">
        <v>33</v>
      </c>
      <c r="E230" t="s">
        <v>55</v>
      </c>
      <c r="F230" t="s">
        <v>33</v>
      </c>
      <c r="G230" t="s">
        <v>24</v>
      </c>
      <c r="H230" t="s">
        <v>61</v>
      </c>
      <c r="I230">
        <v>8</v>
      </c>
      <c r="J230">
        <v>54979</v>
      </c>
      <c r="K230" t="s">
        <v>45</v>
      </c>
      <c r="L230">
        <v>6</v>
      </c>
      <c r="M230">
        <v>23</v>
      </c>
      <c r="N230">
        <v>3</v>
      </c>
      <c r="O230" t="s">
        <v>27</v>
      </c>
      <c r="P230" t="s">
        <v>27</v>
      </c>
      <c r="Q230">
        <v>1</v>
      </c>
      <c r="R230" t="s">
        <v>28</v>
      </c>
      <c r="S230" t="s">
        <v>27</v>
      </c>
      <c r="T230" t="b">
        <f t="shared" si="30"/>
        <v>0</v>
      </c>
      <c r="U230" t="str">
        <f t="shared" si="31"/>
        <v>Employee_0229</v>
      </c>
      <c r="V230" t="str">
        <f t="shared" si="32"/>
        <v>Female</v>
      </c>
      <c r="W230" t="str">
        <f t="shared" si="33"/>
        <v>Sales</v>
      </c>
      <c r="X230" t="str">
        <f t="shared" si="34"/>
        <v>Noida</v>
      </c>
      <c r="Y230" t="str">
        <f t="shared" si="35"/>
        <v>Valid</v>
      </c>
      <c r="Z230" t="str">
        <f t="shared" si="36"/>
        <v>Valid</v>
      </c>
      <c r="AA230" t="str">
        <f t="shared" si="37"/>
        <v>Valid</v>
      </c>
      <c r="AB230" s="9" t="str">
        <f t="shared" si="38"/>
        <v>Valid</v>
      </c>
      <c r="AC230" s="9" t="str">
        <f t="shared" si="39"/>
        <v>Valid</v>
      </c>
      <c r="AD230" s="9" t="str">
        <f>IF(AND(Y230="Valid",Z230="Valid",AA230="Valid",AB230="Valid",COUNTIF($A$2:A230,A230)=1),"Include","Exclude")</f>
        <v>Include</v>
      </c>
    </row>
    <row r="231" spans="1:30" x14ac:dyDescent="0.35">
      <c r="A231" t="s">
        <v>509</v>
      </c>
      <c r="B231" t="s">
        <v>510</v>
      </c>
      <c r="C231" t="s">
        <v>31</v>
      </c>
      <c r="D231">
        <v>49</v>
      </c>
      <c r="E231" t="s">
        <v>55</v>
      </c>
      <c r="F231" t="s">
        <v>64</v>
      </c>
      <c r="G231" t="s">
        <v>24</v>
      </c>
      <c r="H231" t="s">
        <v>70</v>
      </c>
      <c r="I231">
        <v>23</v>
      </c>
      <c r="J231">
        <v>62235</v>
      </c>
      <c r="K231" t="s">
        <v>45</v>
      </c>
      <c r="L231">
        <v>6</v>
      </c>
      <c r="M231">
        <v>37</v>
      </c>
      <c r="N231">
        <v>5</v>
      </c>
      <c r="O231" t="s">
        <v>28</v>
      </c>
      <c r="P231" t="s">
        <v>27</v>
      </c>
      <c r="Q231">
        <v>1</v>
      </c>
      <c r="R231" t="s">
        <v>27</v>
      </c>
      <c r="S231" t="s">
        <v>27</v>
      </c>
      <c r="T231" t="b">
        <f t="shared" si="30"/>
        <v>0</v>
      </c>
      <c r="U231" t="str">
        <f t="shared" si="31"/>
        <v>Employee_0230</v>
      </c>
      <c r="V231" t="str">
        <f t="shared" si="32"/>
        <v>Male</v>
      </c>
      <c r="W231" t="str">
        <f t="shared" si="33"/>
        <v>Marketing</v>
      </c>
      <c r="X231" t="str">
        <f t="shared" si="34"/>
        <v>Bangalore</v>
      </c>
      <c r="Y231" t="str">
        <f t="shared" si="35"/>
        <v>Valid</v>
      </c>
      <c r="Z231" t="str">
        <f t="shared" si="36"/>
        <v>Valid</v>
      </c>
      <c r="AA231" t="str">
        <f t="shared" si="37"/>
        <v>Valid</v>
      </c>
      <c r="AB231" s="9" t="str">
        <f t="shared" si="38"/>
        <v>Valid</v>
      </c>
      <c r="AC231" s="9" t="str">
        <f t="shared" si="39"/>
        <v>Valid</v>
      </c>
      <c r="AD231" s="9" t="str">
        <f>IF(AND(Y231="Valid",Z231="Valid",AA231="Valid",AB231="Valid",COUNTIF($A$2:A231,A231)=1),"Include","Exclude")</f>
        <v>Include</v>
      </c>
    </row>
    <row r="232" spans="1:30" x14ac:dyDescent="0.35">
      <c r="A232" t="s">
        <v>511</v>
      </c>
      <c r="B232" t="s">
        <v>512</v>
      </c>
      <c r="C232" t="s">
        <v>31</v>
      </c>
      <c r="D232">
        <v>34</v>
      </c>
      <c r="E232" t="s">
        <v>55</v>
      </c>
      <c r="F232" t="s">
        <v>48</v>
      </c>
      <c r="G232" t="s">
        <v>24</v>
      </c>
      <c r="H232" t="s">
        <v>49</v>
      </c>
      <c r="I232">
        <v>8</v>
      </c>
      <c r="J232">
        <v>52132</v>
      </c>
      <c r="K232" t="s">
        <v>45</v>
      </c>
      <c r="L232">
        <v>9</v>
      </c>
      <c r="M232">
        <v>45</v>
      </c>
      <c r="N232">
        <v>4</v>
      </c>
      <c r="O232" t="s">
        <v>28</v>
      </c>
      <c r="P232" t="s">
        <v>28</v>
      </c>
      <c r="Q232">
        <v>3</v>
      </c>
      <c r="R232" t="s">
        <v>27</v>
      </c>
      <c r="S232" t="s">
        <v>27</v>
      </c>
      <c r="T232" t="b">
        <f t="shared" si="30"/>
        <v>0</v>
      </c>
      <c r="U232" t="str">
        <f t="shared" si="31"/>
        <v>Employee_0231</v>
      </c>
      <c r="V232" t="str">
        <f t="shared" si="32"/>
        <v>Male</v>
      </c>
      <c r="W232" t="str">
        <f t="shared" si="33"/>
        <v>Customer Support</v>
      </c>
      <c r="X232" t="str">
        <f t="shared" si="34"/>
        <v>Delhi</v>
      </c>
      <c r="Y232" t="str">
        <f t="shared" si="35"/>
        <v>Valid</v>
      </c>
      <c r="Z232" t="str">
        <f t="shared" si="36"/>
        <v>Valid</v>
      </c>
      <c r="AA232" t="str">
        <f t="shared" si="37"/>
        <v>Valid</v>
      </c>
      <c r="AB232" s="9" t="str">
        <f t="shared" si="38"/>
        <v>Valid</v>
      </c>
      <c r="AC232" s="9" t="str">
        <f t="shared" si="39"/>
        <v>Valid</v>
      </c>
      <c r="AD232" s="9" t="str">
        <f>IF(AND(Y232="Valid",Z232="Valid",AA232="Valid",AB232="Valid",COUNTIF($A$2:A232,A232)=1),"Include","Exclude")</f>
        <v>Include</v>
      </c>
    </row>
    <row r="233" spans="1:30" x14ac:dyDescent="0.35">
      <c r="A233" t="s">
        <v>513</v>
      </c>
      <c r="B233" t="s">
        <v>514</v>
      </c>
      <c r="C233" t="s">
        <v>21</v>
      </c>
      <c r="D233">
        <v>44</v>
      </c>
      <c r="E233" t="s">
        <v>38</v>
      </c>
      <c r="F233" t="s">
        <v>43</v>
      </c>
      <c r="G233" t="s">
        <v>69</v>
      </c>
      <c r="H233" t="s">
        <v>131</v>
      </c>
      <c r="I233">
        <v>11</v>
      </c>
      <c r="J233">
        <v>82000</v>
      </c>
      <c r="K233" t="s">
        <v>45</v>
      </c>
      <c r="L233">
        <v>8</v>
      </c>
      <c r="M233">
        <v>14</v>
      </c>
      <c r="N233">
        <v>4</v>
      </c>
      <c r="O233" t="s">
        <v>28</v>
      </c>
      <c r="P233" t="s">
        <v>28</v>
      </c>
      <c r="Q233">
        <v>5</v>
      </c>
      <c r="R233" t="s">
        <v>27</v>
      </c>
      <c r="S233" t="s">
        <v>27</v>
      </c>
      <c r="T233" t="b">
        <f t="shared" si="30"/>
        <v>0</v>
      </c>
      <c r="U233" t="str">
        <f t="shared" si="31"/>
        <v>Employee_0232</v>
      </c>
      <c r="V233" t="str">
        <f t="shared" si="32"/>
        <v>Female</v>
      </c>
      <c r="W233" t="str">
        <f t="shared" si="33"/>
        <v>It</v>
      </c>
      <c r="X233" t="str">
        <f t="shared" si="34"/>
        <v>Pune</v>
      </c>
      <c r="Y233" t="str">
        <f t="shared" si="35"/>
        <v>Valid</v>
      </c>
      <c r="Z233" t="str">
        <f t="shared" si="36"/>
        <v>Valid</v>
      </c>
      <c r="AA233" t="str">
        <f t="shared" si="37"/>
        <v>Valid</v>
      </c>
      <c r="AB233" s="9" t="str">
        <f t="shared" si="38"/>
        <v>Valid</v>
      </c>
      <c r="AC233" s="9" t="str">
        <f t="shared" si="39"/>
        <v>Valid</v>
      </c>
      <c r="AD233" s="9" t="str">
        <f>IF(AND(Y233="Valid",Z233="Valid",AA233="Valid",AB233="Valid",COUNTIF($A$2:A233,A233)=1),"Include","Exclude")</f>
        <v>Include</v>
      </c>
    </row>
    <row r="234" spans="1:30" x14ac:dyDescent="0.35">
      <c r="A234" t="s">
        <v>515</v>
      </c>
      <c r="B234" t="s">
        <v>516</v>
      </c>
      <c r="C234" t="s">
        <v>31</v>
      </c>
      <c r="D234">
        <v>53</v>
      </c>
      <c r="E234" t="s">
        <v>38</v>
      </c>
      <c r="F234" t="s">
        <v>43</v>
      </c>
      <c r="G234" t="s">
        <v>69</v>
      </c>
      <c r="H234" t="s">
        <v>61</v>
      </c>
      <c r="I234">
        <v>13</v>
      </c>
      <c r="J234">
        <v>64731</v>
      </c>
      <c r="K234" t="s">
        <v>26</v>
      </c>
      <c r="L234">
        <v>2</v>
      </c>
      <c r="M234">
        <v>33</v>
      </c>
      <c r="N234">
        <v>3</v>
      </c>
      <c r="O234" t="s">
        <v>27</v>
      </c>
      <c r="P234" t="s">
        <v>27</v>
      </c>
      <c r="Q234">
        <v>1</v>
      </c>
      <c r="R234" t="s">
        <v>28</v>
      </c>
      <c r="S234" t="s">
        <v>27</v>
      </c>
      <c r="T234" t="b">
        <f t="shared" si="30"/>
        <v>0</v>
      </c>
      <c r="U234" t="str">
        <f t="shared" si="31"/>
        <v>Employee_0233</v>
      </c>
      <c r="V234" t="str">
        <f t="shared" si="32"/>
        <v>Male</v>
      </c>
      <c r="W234" t="str">
        <f t="shared" si="33"/>
        <v>It</v>
      </c>
      <c r="X234" t="str">
        <f t="shared" si="34"/>
        <v>Noida</v>
      </c>
      <c r="Y234" t="str">
        <f t="shared" si="35"/>
        <v>Valid</v>
      </c>
      <c r="Z234" t="str">
        <f t="shared" si="36"/>
        <v>Valid</v>
      </c>
      <c r="AA234" t="str">
        <f t="shared" si="37"/>
        <v>Valid</v>
      </c>
      <c r="AB234" s="9" t="str">
        <f t="shared" si="38"/>
        <v>Valid</v>
      </c>
      <c r="AC234" s="9" t="str">
        <f t="shared" si="39"/>
        <v>Valid</v>
      </c>
      <c r="AD234" s="9" t="str">
        <f>IF(AND(Y234="Valid",Z234="Valid",AA234="Valid",AB234="Valid",COUNTIF($A$2:A234,A234)=1),"Include","Exclude")</f>
        <v>Include</v>
      </c>
    </row>
    <row r="235" spans="1:30" x14ac:dyDescent="0.35">
      <c r="A235" t="s">
        <v>517</v>
      </c>
      <c r="B235" t="s">
        <v>518</v>
      </c>
      <c r="C235" t="s">
        <v>21</v>
      </c>
      <c r="D235">
        <v>26</v>
      </c>
      <c r="E235" t="s">
        <v>55</v>
      </c>
      <c r="F235" t="s">
        <v>39</v>
      </c>
      <c r="G235" t="s">
        <v>24</v>
      </c>
      <c r="H235" t="s">
        <v>52</v>
      </c>
      <c r="I235">
        <v>4</v>
      </c>
      <c r="J235">
        <v>44966</v>
      </c>
      <c r="K235" t="s">
        <v>45</v>
      </c>
      <c r="L235">
        <v>4</v>
      </c>
      <c r="M235">
        <v>60</v>
      </c>
      <c r="N235">
        <v>6</v>
      </c>
      <c r="O235" t="s">
        <v>28</v>
      </c>
      <c r="P235" t="s">
        <v>27</v>
      </c>
      <c r="Q235">
        <v>5</v>
      </c>
      <c r="R235" t="s">
        <v>27</v>
      </c>
      <c r="S235" t="s">
        <v>27</v>
      </c>
      <c r="T235" t="b">
        <f t="shared" si="30"/>
        <v>0</v>
      </c>
      <c r="U235" t="str">
        <f t="shared" si="31"/>
        <v>Employee_0234</v>
      </c>
      <c r="V235" t="str">
        <f t="shared" si="32"/>
        <v>Female</v>
      </c>
      <c r="W235" t="str">
        <f t="shared" si="33"/>
        <v>Operations</v>
      </c>
      <c r="X235" t="str">
        <f t="shared" si="34"/>
        <v>Mumbai</v>
      </c>
      <c r="Y235" t="str">
        <f t="shared" si="35"/>
        <v>Valid</v>
      </c>
      <c r="Z235" t="str">
        <f t="shared" si="36"/>
        <v>Valid</v>
      </c>
      <c r="AA235" t="str">
        <f t="shared" si="37"/>
        <v>Valid</v>
      </c>
      <c r="AB235" s="9" t="str">
        <f t="shared" si="38"/>
        <v>Valid</v>
      </c>
      <c r="AC235" s="9" t="str">
        <f t="shared" si="39"/>
        <v>Valid</v>
      </c>
      <c r="AD235" s="9" t="str">
        <f>IF(AND(Y235="Valid",Z235="Valid",AA235="Valid",AB235="Valid",COUNTIF($A$2:A235,A235)=1),"Include","Exclude")</f>
        <v>Include</v>
      </c>
    </row>
    <row r="236" spans="1:30" x14ac:dyDescent="0.35">
      <c r="A236" t="s">
        <v>519</v>
      </c>
      <c r="B236" t="s">
        <v>520</v>
      </c>
      <c r="C236" t="s">
        <v>21</v>
      </c>
      <c r="D236">
        <v>47</v>
      </c>
      <c r="E236" t="s">
        <v>55</v>
      </c>
      <c r="F236" t="s">
        <v>60</v>
      </c>
      <c r="G236" t="s">
        <v>69</v>
      </c>
      <c r="H236" t="s">
        <v>61</v>
      </c>
      <c r="I236">
        <v>10</v>
      </c>
      <c r="J236">
        <v>65525</v>
      </c>
      <c r="K236" t="s">
        <v>45</v>
      </c>
      <c r="L236">
        <v>6</v>
      </c>
      <c r="M236">
        <v>31</v>
      </c>
      <c r="N236">
        <v>3</v>
      </c>
      <c r="O236" t="s">
        <v>27</v>
      </c>
      <c r="P236" t="s">
        <v>28</v>
      </c>
      <c r="Q236">
        <v>5</v>
      </c>
      <c r="R236" t="s">
        <v>27</v>
      </c>
      <c r="S236" t="s">
        <v>27</v>
      </c>
      <c r="T236" t="b">
        <f t="shared" si="30"/>
        <v>0</v>
      </c>
      <c r="U236" t="str">
        <f t="shared" si="31"/>
        <v>Employee_0235</v>
      </c>
      <c r="V236" t="str">
        <f t="shared" si="32"/>
        <v>Female</v>
      </c>
      <c r="W236" t="str">
        <f t="shared" si="33"/>
        <v>Hr</v>
      </c>
      <c r="X236" t="str">
        <f t="shared" si="34"/>
        <v>Noida</v>
      </c>
      <c r="Y236" t="str">
        <f t="shared" si="35"/>
        <v>Valid</v>
      </c>
      <c r="Z236" t="str">
        <f t="shared" si="36"/>
        <v>Valid</v>
      </c>
      <c r="AA236" t="str">
        <f t="shared" si="37"/>
        <v>Valid</v>
      </c>
      <c r="AB236" s="9" t="str">
        <f t="shared" si="38"/>
        <v>Valid</v>
      </c>
      <c r="AC236" s="9" t="str">
        <f t="shared" si="39"/>
        <v>Valid</v>
      </c>
      <c r="AD236" s="9" t="str">
        <f>IF(AND(Y236="Valid",Z236="Valid",AA236="Valid",AB236="Valid",COUNTIF($A$2:A236,A236)=1),"Include","Exclude")</f>
        <v>Include</v>
      </c>
    </row>
    <row r="237" spans="1:30" x14ac:dyDescent="0.35">
      <c r="A237" t="s">
        <v>521</v>
      </c>
      <c r="B237" t="s">
        <v>522</v>
      </c>
      <c r="C237" t="s">
        <v>31</v>
      </c>
      <c r="D237">
        <v>21</v>
      </c>
      <c r="E237" t="s">
        <v>38</v>
      </c>
      <c r="F237" t="s">
        <v>39</v>
      </c>
      <c r="G237" t="s">
        <v>24</v>
      </c>
      <c r="H237" t="s">
        <v>52</v>
      </c>
      <c r="I237">
        <v>0</v>
      </c>
      <c r="J237">
        <v>48697</v>
      </c>
      <c r="K237" t="s">
        <v>40</v>
      </c>
      <c r="L237">
        <v>8</v>
      </c>
      <c r="M237">
        <v>38</v>
      </c>
      <c r="N237">
        <v>6</v>
      </c>
      <c r="O237" t="s">
        <v>27</v>
      </c>
      <c r="P237" t="s">
        <v>28</v>
      </c>
      <c r="Q237">
        <v>5</v>
      </c>
      <c r="R237" t="s">
        <v>27</v>
      </c>
      <c r="S237" t="s">
        <v>27</v>
      </c>
      <c r="T237" t="b">
        <f t="shared" si="30"/>
        <v>0</v>
      </c>
      <c r="U237" t="str">
        <f t="shared" si="31"/>
        <v>Employee_0236</v>
      </c>
      <c r="V237" t="str">
        <f t="shared" si="32"/>
        <v>Male</v>
      </c>
      <c r="W237" t="str">
        <f t="shared" si="33"/>
        <v>Operations</v>
      </c>
      <c r="X237" t="str">
        <f t="shared" si="34"/>
        <v>Mumbai</v>
      </c>
      <c r="Y237" t="str">
        <f t="shared" si="35"/>
        <v>Valid</v>
      </c>
      <c r="Z237" t="str">
        <f t="shared" si="36"/>
        <v>Valid</v>
      </c>
      <c r="AA237" t="str">
        <f t="shared" si="37"/>
        <v>Valid</v>
      </c>
      <c r="AB237" s="9" t="str">
        <f t="shared" si="38"/>
        <v>Valid</v>
      </c>
      <c r="AC237" s="9" t="str">
        <f t="shared" si="39"/>
        <v>Valid</v>
      </c>
      <c r="AD237" s="9" t="str">
        <f>IF(AND(Y237="Valid",Z237="Valid",AA237="Valid",AB237="Valid",COUNTIF($A$2:A237,A237)=1),"Include","Exclude")</f>
        <v>Include</v>
      </c>
    </row>
    <row r="238" spans="1:30" x14ac:dyDescent="0.35">
      <c r="A238" t="s">
        <v>523</v>
      </c>
      <c r="B238" t="s">
        <v>524</v>
      </c>
      <c r="C238" t="s">
        <v>21</v>
      </c>
      <c r="D238">
        <v>43</v>
      </c>
      <c r="E238" t="s">
        <v>22</v>
      </c>
      <c r="F238" t="s">
        <v>39</v>
      </c>
      <c r="G238" t="s">
        <v>24</v>
      </c>
      <c r="H238" t="s">
        <v>34</v>
      </c>
      <c r="I238">
        <v>18</v>
      </c>
      <c r="J238">
        <v>61361</v>
      </c>
      <c r="K238" t="s">
        <v>45</v>
      </c>
      <c r="L238">
        <v>4</v>
      </c>
      <c r="M238">
        <v>41</v>
      </c>
      <c r="N238">
        <v>4</v>
      </c>
      <c r="O238" t="s">
        <v>27</v>
      </c>
      <c r="P238" t="s">
        <v>27</v>
      </c>
      <c r="Q238">
        <v>3</v>
      </c>
      <c r="R238" t="s">
        <v>27</v>
      </c>
      <c r="S238" t="s">
        <v>27</v>
      </c>
      <c r="T238" t="b">
        <f t="shared" si="30"/>
        <v>0</v>
      </c>
      <c r="U238" t="str">
        <f t="shared" si="31"/>
        <v>Employee_0237</v>
      </c>
      <c r="V238" t="str">
        <f t="shared" si="32"/>
        <v>Female</v>
      </c>
      <c r="W238" t="str">
        <f t="shared" si="33"/>
        <v>Operations</v>
      </c>
      <c r="X238" t="str">
        <f t="shared" si="34"/>
        <v>Gurgaon</v>
      </c>
      <c r="Y238" t="str">
        <f t="shared" si="35"/>
        <v>Valid</v>
      </c>
      <c r="Z238" t="str">
        <f t="shared" si="36"/>
        <v>Valid</v>
      </c>
      <c r="AA238" t="str">
        <f t="shared" si="37"/>
        <v>Valid</v>
      </c>
      <c r="AB238" s="9" t="str">
        <f t="shared" si="38"/>
        <v>Valid</v>
      </c>
      <c r="AC238" s="9" t="str">
        <f t="shared" si="39"/>
        <v>Valid</v>
      </c>
      <c r="AD238" s="9" t="str">
        <f>IF(AND(Y238="Valid",Z238="Valid",AA238="Valid",AB238="Valid",COUNTIF($A$2:A238,A238)=1),"Include","Exclude")</f>
        <v>Include</v>
      </c>
    </row>
    <row r="239" spans="1:30" x14ac:dyDescent="0.35">
      <c r="A239" t="s">
        <v>525</v>
      </c>
      <c r="B239" t="s">
        <v>526</v>
      </c>
      <c r="C239" t="s">
        <v>31</v>
      </c>
      <c r="D239">
        <v>49</v>
      </c>
      <c r="E239" t="s">
        <v>55</v>
      </c>
      <c r="F239" t="s">
        <v>43</v>
      </c>
      <c r="G239" t="s">
        <v>24</v>
      </c>
      <c r="H239" t="s">
        <v>25</v>
      </c>
      <c r="I239">
        <v>20</v>
      </c>
      <c r="J239">
        <v>82000</v>
      </c>
      <c r="K239" t="s">
        <v>26</v>
      </c>
      <c r="L239">
        <v>1</v>
      </c>
      <c r="M239">
        <v>26</v>
      </c>
      <c r="N239">
        <v>3</v>
      </c>
      <c r="O239" t="s">
        <v>28</v>
      </c>
      <c r="P239" t="s">
        <v>28</v>
      </c>
      <c r="Q239">
        <v>5</v>
      </c>
      <c r="R239" t="s">
        <v>28</v>
      </c>
      <c r="S239" t="s">
        <v>27</v>
      </c>
      <c r="T239" t="b">
        <f t="shared" si="30"/>
        <v>0</v>
      </c>
      <c r="U239" t="str">
        <f t="shared" si="31"/>
        <v>Employee_0238</v>
      </c>
      <c r="V239" t="str">
        <f t="shared" si="32"/>
        <v>Male</v>
      </c>
      <c r="W239" t="str">
        <f t="shared" si="33"/>
        <v>It</v>
      </c>
      <c r="X239" t="str">
        <f t="shared" si="34"/>
        <v>Hyderabad</v>
      </c>
      <c r="Y239" t="str">
        <f t="shared" si="35"/>
        <v>Valid</v>
      </c>
      <c r="Z239" t="str">
        <f t="shared" si="36"/>
        <v>Valid</v>
      </c>
      <c r="AA239" t="str">
        <f t="shared" si="37"/>
        <v>Valid</v>
      </c>
      <c r="AB239" s="9" t="str">
        <f t="shared" si="38"/>
        <v>Valid</v>
      </c>
      <c r="AC239" s="9" t="str">
        <f t="shared" si="39"/>
        <v>Valid</v>
      </c>
      <c r="AD239" s="9" t="str">
        <f>IF(AND(Y239="Valid",Z239="Valid",AA239="Valid",AB239="Valid",COUNTIF($A$2:A239,A239)=1),"Include","Exclude")</f>
        <v>Include</v>
      </c>
    </row>
    <row r="240" spans="1:30" x14ac:dyDescent="0.35">
      <c r="A240" t="s">
        <v>527</v>
      </c>
      <c r="B240" t="s">
        <v>528</v>
      </c>
      <c r="C240" t="s">
        <v>21</v>
      </c>
      <c r="D240">
        <v>45</v>
      </c>
      <c r="E240" t="s">
        <v>55</v>
      </c>
      <c r="F240" t="s">
        <v>33</v>
      </c>
      <c r="G240" t="s">
        <v>24</v>
      </c>
      <c r="H240" t="s">
        <v>34</v>
      </c>
      <c r="I240">
        <v>15</v>
      </c>
      <c r="J240">
        <v>58388</v>
      </c>
      <c r="K240" t="s">
        <v>45</v>
      </c>
      <c r="L240">
        <v>10</v>
      </c>
      <c r="M240">
        <v>16</v>
      </c>
      <c r="N240">
        <v>4</v>
      </c>
      <c r="O240" t="s">
        <v>27</v>
      </c>
      <c r="P240" t="s">
        <v>28</v>
      </c>
      <c r="Q240">
        <v>4</v>
      </c>
      <c r="R240" t="s">
        <v>27</v>
      </c>
      <c r="S240" t="s">
        <v>27</v>
      </c>
      <c r="T240" t="b">
        <f t="shared" si="30"/>
        <v>0</v>
      </c>
      <c r="U240" t="str">
        <f t="shared" si="31"/>
        <v>Employee_0239</v>
      </c>
      <c r="V240" t="str">
        <f t="shared" si="32"/>
        <v>Female</v>
      </c>
      <c r="W240" t="str">
        <f t="shared" si="33"/>
        <v>Sales</v>
      </c>
      <c r="X240" t="str">
        <f t="shared" si="34"/>
        <v>Gurgaon</v>
      </c>
      <c r="Y240" t="str">
        <f t="shared" si="35"/>
        <v>Valid</v>
      </c>
      <c r="Z240" t="str">
        <f t="shared" si="36"/>
        <v>Valid</v>
      </c>
      <c r="AA240" t="str">
        <f t="shared" si="37"/>
        <v>Valid</v>
      </c>
      <c r="AB240" s="9" t="str">
        <f t="shared" si="38"/>
        <v>Valid</v>
      </c>
      <c r="AC240" s="9" t="str">
        <f t="shared" si="39"/>
        <v>Valid</v>
      </c>
      <c r="AD240" s="9" t="str">
        <f>IF(AND(Y240="Valid",Z240="Valid",AA240="Valid",AB240="Valid",COUNTIF($A$2:A240,A240)=1),"Include","Exclude")</f>
        <v>Include</v>
      </c>
    </row>
    <row r="241" spans="1:30" x14ac:dyDescent="0.35">
      <c r="A241" t="s">
        <v>529</v>
      </c>
      <c r="B241" t="s">
        <v>530</v>
      </c>
      <c r="C241" t="s">
        <v>31</v>
      </c>
      <c r="D241">
        <v>27</v>
      </c>
      <c r="E241" t="s">
        <v>38</v>
      </c>
      <c r="F241" t="s">
        <v>48</v>
      </c>
      <c r="G241" t="s">
        <v>69</v>
      </c>
      <c r="H241" t="s">
        <v>131</v>
      </c>
      <c r="I241">
        <v>4</v>
      </c>
      <c r="J241">
        <v>44443</v>
      </c>
      <c r="K241" t="s">
        <v>35</v>
      </c>
      <c r="L241">
        <v>10</v>
      </c>
      <c r="M241">
        <v>39</v>
      </c>
      <c r="N241">
        <v>5</v>
      </c>
      <c r="O241" t="s">
        <v>28</v>
      </c>
      <c r="P241" t="s">
        <v>28</v>
      </c>
      <c r="Q241">
        <v>5</v>
      </c>
      <c r="R241" t="s">
        <v>28</v>
      </c>
      <c r="S241" t="s">
        <v>27</v>
      </c>
      <c r="T241" t="b">
        <f t="shared" si="30"/>
        <v>0</v>
      </c>
      <c r="U241" t="str">
        <f t="shared" si="31"/>
        <v>Employee_0240</v>
      </c>
      <c r="V241" t="str">
        <f t="shared" si="32"/>
        <v>Male</v>
      </c>
      <c r="W241" t="str">
        <f t="shared" si="33"/>
        <v>Customer Support</v>
      </c>
      <c r="X241" t="str">
        <f t="shared" si="34"/>
        <v>Pune</v>
      </c>
      <c r="Y241" t="str">
        <f t="shared" si="35"/>
        <v>Valid</v>
      </c>
      <c r="Z241" t="str">
        <f t="shared" si="36"/>
        <v>Valid</v>
      </c>
      <c r="AA241" t="str">
        <f t="shared" si="37"/>
        <v>Valid</v>
      </c>
      <c r="AB241" s="9" t="str">
        <f t="shared" si="38"/>
        <v>Valid</v>
      </c>
      <c r="AC241" s="9" t="str">
        <f t="shared" si="39"/>
        <v>Valid</v>
      </c>
      <c r="AD241" s="9" t="str">
        <f>IF(AND(Y241="Valid",Z241="Valid",AA241="Valid",AB241="Valid",COUNTIF($A$2:A241,A241)=1),"Include","Exclude")</f>
        <v>Include</v>
      </c>
    </row>
    <row r="242" spans="1:30" x14ac:dyDescent="0.35">
      <c r="A242" t="s">
        <v>531</v>
      </c>
      <c r="B242" t="s">
        <v>532</v>
      </c>
      <c r="C242" t="s">
        <v>21</v>
      </c>
      <c r="D242">
        <v>29</v>
      </c>
      <c r="E242" t="s">
        <v>55</v>
      </c>
      <c r="F242" t="s">
        <v>33</v>
      </c>
      <c r="G242" t="s">
        <v>24</v>
      </c>
      <c r="H242" t="s">
        <v>70</v>
      </c>
      <c r="I242">
        <v>4</v>
      </c>
      <c r="J242">
        <v>57680</v>
      </c>
      <c r="K242" t="s">
        <v>26</v>
      </c>
      <c r="L242">
        <v>5</v>
      </c>
      <c r="M242">
        <v>39</v>
      </c>
      <c r="N242">
        <v>5</v>
      </c>
      <c r="O242" t="s">
        <v>28</v>
      </c>
      <c r="P242" t="s">
        <v>28</v>
      </c>
      <c r="Q242">
        <v>3</v>
      </c>
      <c r="R242" t="s">
        <v>28</v>
      </c>
      <c r="S242" t="s">
        <v>27</v>
      </c>
      <c r="T242" t="b">
        <f t="shared" si="30"/>
        <v>0</v>
      </c>
      <c r="U242" t="str">
        <f t="shared" si="31"/>
        <v>Employee_0241</v>
      </c>
      <c r="V242" t="str">
        <f t="shared" si="32"/>
        <v>Female</v>
      </c>
      <c r="W242" t="str">
        <f t="shared" si="33"/>
        <v>Sales</v>
      </c>
      <c r="X242" t="str">
        <f t="shared" si="34"/>
        <v>Bangalore</v>
      </c>
      <c r="Y242" t="str">
        <f t="shared" si="35"/>
        <v>Valid</v>
      </c>
      <c r="Z242" t="str">
        <f t="shared" si="36"/>
        <v>Valid</v>
      </c>
      <c r="AA242" t="str">
        <f t="shared" si="37"/>
        <v>Valid</v>
      </c>
      <c r="AB242" s="9" t="str">
        <f t="shared" si="38"/>
        <v>Valid</v>
      </c>
      <c r="AC242" s="9" t="str">
        <f t="shared" si="39"/>
        <v>Valid</v>
      </c>
      <c r="AD242" s="9" t="str">
        <f>IF(AND(Y242="Valid",Z242="Valid",AA242="Valid",AB242="Valid",COUNTIF($A$2:A242,A242)=1),"Include","Exclude")</f>
        <v>Include</v>
      </c>
    </row>
    <row r="243" spans="1:30" x14ac:dyDescent="0.35">
      <c r="A243" t="s">
        <v>533</v>
      </c>
      <c r="B243" t="s">
        <v>534</v>
      </c>
      <c r="C243" t="s">
        <v>31</v>
      </c>
      <c r="D243">
        <v>25</v>
      </c>
      <c r="E243" t="s">
        <v>22</v>
      </c>
      <c r="F243" t="s">
        <v>43</v>
      </c>
      <c r="G243" t="s">
        <v>69</v>
      </c>
      <c r="H243" t="s">
        <v>34</v>
      </c>
      <c r="I243">
        <v>2</v>
      </c>
      <c r="J243">
        <v>61455</v>
      </c>
      <c r="K243" t="s">
        <v>45</v>
      </c>
      <c r="L243">
        <v>6</v>
      </c>
      <c r="M243">
        <v>36</v>
      </c>
      <c r="N243">
        <v>2</v>
      </c>
      <c r="O243" t="s">
        <v>27</v>
      </c>
      <c r="P243" t="s">
        <v>28</v>
      </c>
      <c r="Q243">
        <v>3</v>
      </c>
      <c r="R243" t="s">
        <v>27</v>
      </c>
      <c r="S243" t="s">
        <v>27</v>
      </c>
      <c r="T243" t="b">
        <f t="shared" si="30"/>
        <v>0</v>
      </c>
      <c r="U243" t="str">
        <f t="shared" si="31"/>
        <v>Employee_0242</v>
      </c>
      <c r="V243" t="str">
        <f t="shared" si="32"/>
        <v>Male</v>
      </c>
      <c r="W243" t="str">
        <f t="shared" si="33"/>
        <v>It</v>
      </c>
      <c r="X243" t="str">
        <f t="shared" si="34"/>
        <v>Gurgaon</v>
      </c>
      <c r="Y243" t="str">
        <f t="shared" si="35"/>
        <v>Valid</v>
      </c>
      <c r="Z243" t="str">
        <f t="shared" si="36"/>
        <v>Valid</v>
      </c>
      <c r="AA243" t="str">
        <f t="shared" si="37"/>
        <v>Valid</v>
      </c>
      <c r="AB243" s="9" t="str">
        <f t="shared" si="38"/>
        <v>Valid</v>
      </c>
      <c r="AC243" s="9" t="str">
        <f t="shared" si="39"/>
        <v>Valid</v>
      </c>
      <c r="AD243" s="9" t="str">
        <f>IF(AND(Y243="Valid",Z243="Valid",AA243="Valid",AB243="Valid",COUNTIF($A$2:A243,A243)=1),"Include","Exclude")</f>
        <v>Include</v>
      </c>
    </row>
    <row r="244" spans="1:30" x14ac:dyDescent="0.35">
      <c r="A244" t="s">
        <v>535</v>
      </c>
      <c r="B244" t="s">
        <v>536</v>
      </c>
      <c r="C244" t="s">
        <v>31</v>
      </c>
      <c r="D244">
        <v>26</v>
      </c>
      <c r="E244" t="s">
        <v>55</v>
      </c>
      <c r="F244" t="s">
        <v>33</v>
      </c>
      <c r="G244" t="s">
        <v>24</v>
      </c>
      <c r="H244" t="s">
        <v>52</v>
      </c>
      <c r="I244">
        <v>3</v>
      </c>
      <c r="J244">
        <v>54134</v>
      </c>
      <c r="K244" t="s">
        <v>45</v>
      </c>
      <c r="L244">
        <v>2</v>
      </c>
      <c r="M244">
        <v>22</v>
      </c>
      <c r="N244">
        <v>6</v>
      </c>
      <c r="O244" t="s">
        <v>27</v>
      </c>
      <c r="P244" t="s">
        <v>28</v>
      </c>
      <c r="Q244">
        <v>5</v>
      </c>
      <c r="R244" t="s">
        <v>27</v>
      </c>
      <c r="S244" t="s">
        <v>28</v>
      </c>
      <c r="T244" t="b">
        <f t="shared" si="30"/>
        <v>0</v>
      </c>
      <c r="U244" t="str">
        <f t="shared" si="31"/>
        <v>Employee_0243</v>
      </c>
      <c r="V244" t="str">
        <f t="shared" si="32"/>
        <v>Male</v>
      </c>
      <c r="W244" t="str">
        <f t="shared" si="33"/>
        <v>Sales</v>
      </c>
      <c r="X244" t="str">
        <f t="shared" si="34"/>
        <v>Mumbai</v>
      </c>
      <c r="Y244" t="str">
        <f t="shared" si="35"/>
        <v>Valid</v>
      </c>
      <c r="Z244" t="str">
        <f t="shared" si="36"/>
        <v>Valid</v>
      </c>
      <c r="AA244" t="str">
        <f t="shared" si="37"/>
        <v>Valid</v>
      </c>
      <c r="AB244" s="9" t="str">
        <f t="shared" si="38"/>
        <v>Valid</v>
      </c>
      <c r="AC244" s="9" t="str">
        <f t="shared" si="39"/>
        <v>Valid</v>
      </c>
      <c r="AD244" s="9" t="str">
        <f>IF(AND(Y244="Valid",Z244="Valid",AA244="Valid",AB244="Valid",COUNTIF($A$2:A244,A244)=1),"Include","Exclude")</f>
        <v>Include</v>
      </c>
    </row>
    <row r="245" spans="1:30" x14ac:dyDescent="0.35">
      <c r="A245" t="s">
        <v>537</v>
      </c>
      <c r="B245" t="s">
        <v>538</v>
      </c>
      <c r="C245" t="s">
        <v>31</v>
      </c>
      <c r="D245">
        <v>21</v>
      </c>
      <c r="E245" t="s">
        <v>55</v>
      </c>
      <c r="F245" t="s">
        <v>33</v>
      </c>
      <c r="G245" t="s">
        <v>69</v>
      </c>
      <c r="H245" t="s">
        <v>52</v>
      </c>
      <c r="I245">
        <v>0</v>
      </c>
      <c r="J245">
        <v>42090</v>
      </c>
      <c r="K245" t="s">
        <v>45</v>
      </c>
      <c r="L245">
        <v>1</v>
      </c>
      <c r="M245">
        <v>17</v>
      </c>
      <c r="N245">
        <v>7</v>
      </c>
      <c r="O245" t="s">
        <v>27</v>
      </c>
      <c r="P245" t="s">
        <v>28</v>
      </c>
      <c r="Q245">
        <v>3</v>
      </c>
      <c r="R245" t="s">
        <v>28</v>
      </c>
      <c r="S245" t="s">
        <v>27</v>
      </c>
      <c r="T245" t="b">
        <f t="shared" si="30"/>
        <v>0</v>
      </c>
      <c r="U245" t="str">
        <f t="shared" si="31"/>
        <v>Employee_0244</v>
      </c>
      <c r="V245" t="str">
        <f t="shared" si="32"/>
        <v>Male</v>
      </c>
      <c r="W245" t="str">
        <f t="shared" si="33"/>
        <v>Sales</v>
      </c>
      <c r="X245" t="str">
        <f t="shared" si="34"/>
        <v>Mumbai</v>
      </c>
      <c r="Y245" t="str">
        <f t="shared" si="35"/>
        <v>Valid</v>
      </c>
      <c r="Z245" t="str">
        <f t="shared" si="36"/>
        <v>Valid</v>
      </c>
      <c r="AA245" t="str">
        <f t="shared" si="37"/>
        <v>Valid</v>
      </c>
      <c r="AB245" s="9" t="str">
        <f t="shared" si="38"/>
        <v>Valid</v>
      </c>
      <c r="AC245" s="9" t="str">
        <f t="shared" si="39"/>
        <v>Valid</v>
      </c>
      <c r="AD245" s="9" t="str">
        <f>IF(AND(Y245="Valid",Z245="Valid",AA245="Valid",AB245="Valid",COUNTIF($A$2:A245,A245)=1),"Include","Exclude")</f>
        <v>Include</v>
      </c>
    </row>
    <row r="246" spans="1:30" x14ac:dyDescent="0.35">
      <c r="A246" t="s">
        <v>539</v>
      </c>
      <c r="B246" t="s">
        <v>540</v>
      </c>
      <c r="C246" t="s">
        <v>21</v>
      </c>
      <c r="D246">
        <v>31</v>
      </c>
      <c r="E246" t="s">
        <v>55</v>
      </c>
      <c r="F246" t="s">
        <v>33</v>
      </c>
      <c r="G246" t="s">
        <v>69</v>
      </c>
      <c r="H246" t="s">
        <v>61</v>
      </c>
      <c r="I246">
        <v>8</v>
      </c>
      <c r="J246">
        <v>55844</v>
      </c>
      <c r="K246" t="s">
        <v>35</v>
      </c>
      <c r="L246">
        <v>6</v>
      </c>
      <c r="M246">
        <v>42</v>
      </c>
      <c r="N246">
        <v>7</v>
      </c>
      <c r="O246" t="s">
        <v>28</v>
      </c>
      <c r="P246" t="s">
        <v>28</v>
      </c>
      <c r="Q246">
        <v>5</v>
      </c>
      <c r="R246" t="s">
        <v>27</v>
      </c>
      <c r="S246" t="s">
        <v>27</v>
      </c>
      <c r="T246" t="b">
        <f t="shared" si="30"/>
        <v>0</v>
      </c>
      <c r="U246" t="str">
        <f t="shared" si="31"/>
        <v>Employee_0245</v>
      </c>
      <c r="V246" t="str">
        <f t="shared" si="32"/>
        <v>Female</v>
      </c>
      <c r="W246" t="str">
        <f t="shared" si="33"/>
        <v>Sales</v>
      </c>
      <c r="X246" t="str">
        <f t="shared" si="34"/>
        <v>Noida</v>
      </c>
      <c r="Y246" t="str">
        <f t="shared" si="35"/>
        <v>Valid</v>
      </c>
      <c r="Z246" t="str">
        <f t="shared" si="36"/>
        <v>Valid</v>
      </c>
      <c r="AA246" t="str">
        <f t="shared" si="37"/>
        <v>Valid</v>
      </c>
      <c r="AB246" s="9" t="str">
        <f t="shared" si="38"/>
        <v>Valid</v>
      </c>
      <c r="AC246" s="9" t="str">
        <f t="shared" si="39"/>
        <v>Valid</v>
      </c>
      <c r="AD246" s="9" t="str">
        <f>IF(AND(Y246="Valid",Z246="Valid",AA246="Valid",AB246="Valid",COUNTIF($A$2:A246,A246)=1),"Include","Exclude")</f>
        <v>Include</v>
      </c>
    </row>
    <row r="247" spans="1:30" x14ac:dyDescent="0.35">
      <c r="A247" t="s">
        <v>541</v>
      </c>
      <c r="B247" t="s">
        <v>542</v>
      </c>
      <c r="C247" t="s">
        <v>31</v>
      </c>
      <c r="D247">
        <v>37</v>
      </c>
      <c r="E247" t="s">
        <v>38</v>
      </c>
      <c r="F247" t="s">
        <v>33</v>
      </c>
      <c r="G247" t="s">
        <v>24</v>
      </c>
      <c r="H247" t="s">
        <v>70</v>
      </c>
      <c r="I247">
        <v>6</v>
      </c>
      <c r="J247">
        <v>58728</v>
      </c>
      <c r="K247" t="s">
        <v>26</v>
      </c>
      <c r="L247">
        <v>5</v>
      </c>
      <c r="M247">
        <v>12</v>
      </c>
      <c r="N247">
        <v>6</v>
      </c>
      <c r="O247" t="s">
        <v>27</v>
      </c>
      <c r="P247" t="s">
        <v>28</v>
      </c>
      <c r="Q247">
        <v>1</v>
      </c>
      <c r="R247" t="s">
        <v>27</v>
      </c>
      <c r="S247" t="s">
        <v>27</v>
      </c>
      <c r="T247" t="b">
        <f t="shared" si="30"/>
        <v>0</v>
      </c>
      <c r="U247" t="str">
        <f t="shared" si="31"/>
        <v>Employee_0246</v>
      </c>
      <c r="V247" t="str">
        <f t="shared" si="32"/>
        <v>Male</v>
      </c>
      <c r="W247" t="str">
        <f t="shared" si="33"/>
        <v>Sales</v>
      </c>
      <c r="X247" t="str">
        <f t="shared" si="34"/>
        <v>Bangalore</v>
      </c>
      <c r="Y247" t="str">
        <f t="shared" si="35"/>
        <v>Valid</v>
      </c>
      <c r="Z247" t="str">
        <f t="shared" si="36"/>
        <v>Valid</v>
      </c>
      <c r="AA247" t="str">
        <f t="shared" si="37"/>
        <v>Valid</v>
      </c>
      <c r="AB247" s="9" t="str">
        <f t="shared" si="38"/>
        <v>Valid</v>
      </c>
      <c r="AC247" s="9" t="str">
        <f t="shared" si="39"/>
        <v>Valid</v>
      </c>
      <c r="AD247" s="9" t="str">
        <f>IF(AND(Y247="Valid",Z247="Valid",AA247="Valid",AB247="Valid",COUNTIF($A$2:A247,A247)=1),"Include","Exclude")</f>
        <v>Include</v>
      </c>
    </row>
    <row r="248" spans="1:30" x14ac:dyDescent="0.35">
      <c r="A248" t="s">
        <v>543</v>
      </c>
      <c r="B248" t="s">
        <v>544</v>
      </c>
      <c r="C248" t="s">
        <v>31</v>
      </c>
      <c r="D248">
        <v>44</v>
      </c>
      <c r="E248" t="s">
        <v>38</v>
      </c>
      <c r="F248" t="s">
        <v>39</v>
      </c>
      <c r="G248" t="s">
        <v>24</v>
      </c>
      <c r="H248" t="s">
        <v>25</v>
      </c>
      <c r="I248">
        <v>16</v>
      </c>
      <c r="J248">
        <v>58141</v>
      </c>
      <c r="K248" t="s">
        <v>45</v>
      </c>
      <c r="L248">
        <v>6</v>
      </c>
      <c r="M248">
        <v>38</v>
      </c>
      <c r="N248">
        <v>4</v>
      </c>
      <c r="O248" t="s">
        <v>27</v>
      </c>
      <c r="P248" t="s">
        <v>28</v>
      </c>
      <c r="Q248">
        <v>3</v>
      </c>
      <c r="R248" t="s">
        <v>28</v>
      </c>
      <c r="S248" t="s">
        <v>27</v>
      </c>
      <c r="T248" t="b">
        <f t="shared" si="30"/>
        <v>0</v>
      </c>
      <c r="U248" t="str">
        <f t="shared" si="31"/>
        <v>Employee_0247</v>
      </c>
      <c r="V248" t="str">
        <f t="shared" si="32"/>
        <v>Male</v>
      </c>
      <c r="W248" t="str">
        <f t="shared" si="33"/>
        <v>Operations</v>
      </c>
      <c r="X248" t="str">
        <f t="shared" si="34"/>
        <v>Hyderabad</v>
      </c>
      <c r="Y248" t="str">
        <f t="shared" si="35"/>
        <v>Valid</v>
      </c>
      <c r="Z248" t="str">
        <f t="shared" si="36"/>
        <v>Valid</v>
      </c>
      <c r="AA248" t="str">
        <f t="shared" si="37"/>
        <v>Valid</v>
      </c>
      <c r="AB248" s="9" t="str">
        <f t="shared" si="38"/>
        <v>Valid</v>
      </c>
      <c r="AC248" s="9" t="str">
        <f t="shared" si="39"/>
        <v>Valid</v>
      </c>
      <c r="AD248" s="9" t="str">
        <f>IF(AND(Y248="Valid",Z248="Valid",AA248="Valid",AB248="Valid",COUNTIF($A$2:A248,A248)=1),"Include","Exclude")</f>
        <v>Include</v>
      </c>
    </row>
    <row r="249" spans="1:30" x14ac:dyDescent="0.35">
      <c r="A249" t="s">
        <v>545</v>
      </c>
      <c r="B249" t="s">
        <v>546</v>
      </c>
      <c r="C249" t="s">
        <v>31</v>
      </c>
      <c r="D249">
        <v>27</v>
      </c>
      <c r="E249" t="s">
        <v>38</v>
      </c>
      <c r="F249" t="s">
        <v>64</v>
      </c>
      <c r="G249" t="s">
        <v>69</v>
      </c>
      <c r="H249" t="s">
        <v>49</v>
      </c>
      <c r="I249">
        <v>4</v>
      </c>
      <c r="J249">
        <v>57462</v>
      </c>
      <c r="K249" t="s">
        <v>26</v>
      </c>
      <c r="L249">
        <v>3</v>
      </c>
      <c r="M249">
        <v>36</v>
      </c>
      <c r="N249">
        <v>3</v>
      </c>
      <c r="O249" t="s">
        <v>27</v>
      </c>
      <c r="P249" t="s">
        <v>28</v>
      </c>
      <c r="Q249">
        <v>1</v>
      </c>
      <c r="R249" t="s">
        <v>27</v>
      </c>
      <c r="S249" t="s">
        <v>27</v>
      </c>
      <c r="T249" t="b">
        <f t="shared" si="30"/>
        <v>0</v>
      </c>
      <c r="U249" t="str">
        <f t="shared" si="31"/>
        <v>Employee_0248</v>
      </c>
      <c r="V249" t="str">
        <f t="shared" si="32"/>
        <v>Male</v>
      </c>
      <c r="W249" t="str">
        <f t="shared" si="33"/>
        <v>Marketing</v>
      </c>
      <c r="X249" t="str">
        <f t="shared" si="34"/>
        <v>Delhi</v>
      </c>
      <c r="Y249" t="str">
        <f t="shared" si="35"/>
        <v>Valid</v>
      </c>
      <c r="Z249" t="str">
        <f t="shared" si="36"/>
        <v>Valid</v>
      </c>
      <c r="AA249" t="str">
        <f t="shared" si="37"/>
        <v>Valid</v>
      </c>
      <c r="AB249" s="9" t="str">
        <f t="shared" si="38"/>
        <v>Valid</v>
      </c>
      <c r="AC249" s="9" t="str">
        <f t="shared" si="39"/>
        <v>Valid</v>
      </c>
      <c r="AD249" s="9" t="str">
        <f>IF(AND(Y249="Valid",Z249="Valid",AA249="Valid",AB249="Valid",COUNTIF($A$2:A249,A249)=1),"Include","Exclude")</f>
        <v>Include</v>
      </c>
    </row>
    <row r="250" spans="1:30" x14ac:dyDescent="0.35">
      <c r="A250" t="s">
        <v>547</v>
      </c>
      <c r="B250" t="s">
        <v>548</v>
      </c>
      <c r="C250" t="s">
        <v>21</v>
      </c>
      <c r="D250">
        <v>43</v>
      </c>
      <c r="E250" t="s">
        <v>55</v>
      </c>
      <c r="F250" t="s">
        <v>64</v>
      </c>
      <c r="G250" t="s">
        <v>24</v>
      </c>
      <c r="H250" t="s">
        <v>70</v>
      </c>
      <c r="I250">
        <v>14</v>
      </c>
      <c r="J250">
        <v>75261</v>
      </c>
      <c r="K250" t="s">
        <v>45</v>
      </c>
      <c r="L250">
        <v>6</v>
      </c>
      <c r="M250">
        <v>34</v>
      </c>
      <c r="N250">
        <v>3</v>
      </c>
      <c r="O250" t="s">
        <v>28</v>
      </c>
      <c r="P250" t="s">
        <v>28</v>
      </c>
      <c r="Q250">
        <v>2</v>
      </c>
      <c r="R250" t="s">
        <v>28</v>
      </c>
      <c r="S250" t="s">
        <v>27</v>
      </c>
      <c r="T250" t="b">
        <f t="shared" si="30"/>
        <v>0</v>
      </c>
      <c r="U250" t="str">
        <f t="shared" si="31"/>
        <v>Employee_0249</v>
      </c>
      <c r="V250" t="str">
        <f t="shared" si="32"/>
        <v>Female</v>
      </c>
      <c r="W250" t="str">
        <f t="shared" si="33"/>
        <v>Marketing</v>
      </c>
      <c r="X250" t="str">
        <f t="shared" si="34"/>
        <v>Bangalore</v>
      </c>
      <c r="Y250" t="str">
        <f t="shared" si="35"/>
        <v>Valid</v>
      </c>
      <c r="Z250" t="str">
        <f t="shared" si="36"/>
        <v>Valid</v>
      </c>
      <c r="AA250" t="str">
        <f t="shared" si="37"/>
        <v>Valid</v>
      </c>
      <c r="AB250" s="9" t="str">
        <f t="shared" si="38"/>
        <v>Valid</v>
      </c>
      <c r="AC250" s="9" t="str">
        <f t="shared" si="39"/>
        <v>Valid</v>
      </c>
      <c r="AD250" s="9" t="str">
        <f>IF(AND(Y250="Valid",Z250="Valid",AA250="Valid",AB250="Valid",COUNTIF($A$2:A250,A250)=1),"Include","Exclude")</f>
        <v>Include</v>
      </c>
    </row>
    <row r="251" spans="1:30" x14ac:dyDescent="0.35">
      <c r="A251" t="s">
        <v>549</v>
      </c>
      <c r="B251" t="s">
        <v>550</v>
      </c>
      <c r="C251" t="s">
        <v>31</v>
      </c>
      <c r="D251">
        <v>44</v>
      </c>
      <c r="E251" t="s">
        <v>38</v>
      </c>
      <c r="F251" t="s">
        <v>23</v>
      </c>
      <c r="G251" t="s">
        <v>24</v>
      </c>
      <c r="H251" t="s">
        <v>49</v>
      </c>
      <c r="I251">
        <v>9</v>
      </c>
      <c r="J251">
        <v>73355</v>
      </c>
      <c r="K251" t="s">
        <v>45</v>
      </c>
      <c r="L251">
        <v>10</v>
      </c>
      <c r="M251">
        <v>27</v>
      </c>
      <c r="N251">
        <v>5</v>
      </c>
      <c r="O251" t="s">
        <v>27</v>
      </c>
      <c r="P251" t="s">
        <v>28</v>
      </c>
      <c r="Q251">
        <v>3</v>
      </c>
      <c r="R251" t="s">
        <v>27</v>
      </c>
      <c r="S251" t="s">
        <v>27</v>
      </c>
      <c r="T251" t="b">
        <f t="shared" si="30"/>
        <v>0</v>
      </c>
      <c r="U251" t="str">
        <f t="shared" si="31"/>
        <v>Employee_0250</v>
      </c>
      <c r="V251" t="str">
        <f t="shared" si="32"/>
        <v>Male</v>
      </c>
      <c r="W251" t="str">
        <f t="shared" si="33"/>
        <v>Finance</v>
      </c>
      <c r="X251" t="str">
        <f t="shared" si="34"/>
        <v>Delhi</v>
      </c>
      <c r="Y251" t="str">
        <f t="shared" si="35"/>
        <v>Valid</v>
      </c>
      <c r="Z251" t="str">
        <f t="shared" si="36"/>
        <v>Valid</v>
      </c>
      <c r="AA251" t="str">
        <f t="shared" si="37"/>
        <v>Valid</v>
      </c>
      <c r="AB251" s="9" t="str">
        <f t="shared" si="38"/>
        <v>Valid</v>
      </c>
      <c r="AC251" s="9" t="str">
        <f t="shared" si="39"/>
        <v>Valid</v>
      </c>
      <c r="AD251" s="9" t="str">
        <f>IF(AND(Y251="Valid",Z251="Valid",AA251="Valid",AB251="Valid",COUNTIF($A$2:A251,A251)=1),"Include","Exclude")</f>
        <v>Include</v>
      </c>
    </row>
    <row r="252" spans="1:30" x14ac:dyDescent="0.35">
      <c r="A252" t="s">
        <v>551</v>
      </c>
      <c r="B252" t="s">
        <v>552</v>
      </c>
      <c r="C252" t="s">
        <v>31</v>
      </c>
      <c r="D252">
        <v>50</v>
      </c>
      <c r="E252" t="s">
        <v>55</v>
      </c>
      <c r="F252" t="s">
        <v>48</v>
      </c>
      <c r="G252" t="s">
        <v>24</v>
      </c>
      <c r="H252" t="s">
        <v>131</v>
      </c>
      <c r="I252">
        <v>10</v>
      </c>
      <c r="J252">
        <v>53112</v>
      </c>
      <c r="K252" t="s">
        <v>45</v>
      </c>
      <c r="L252">
        <v>5</v>
      </c>
      <c r="M252">
        <v>42</v>
      </c>
      <c r="N252">
        <v>8</v>
      </c>
      <c r="O252" t="s">
        <v>27</v>
      </c>
      <c r="P252" t="s">
        <v>27</v>
      </c>
      <c r="Q252">
        <v>2</v>
      </c>
      <c r="R252" t="s">
        <v>28</v>
      </c>
      <c r="S252" t="s">
        <v>28</v>
      </c>
      <c r="T252" t="b">
        <f t="shared" si="30"/>
        <v>0</v>
      </c>
      <c r="U252" t="str">
        <f t="shared" si="31"/>
        <v>Employee_0251</v>
      </c>
      <c r="V252" t="str">
        <f t="shared" si="32"/>
        <v>Male</v>
      </c>
      <c r="W252" t="str">
        <f t="shared" si="33"/>
        <v>Customer Support</v>
      </c>
      <c r="X252" t="str">
        <f t="shared" si="34"/>
        <v>Pune</v>
      </c>
      <c r="Y252" t="str">
        <f t="shared" si="35"/>
        <v>Valid</v>
      </c>
      <c r="Z252" t="str">
        <f t="shared" si="36"/>
        <v>Valid</v>
      </c>
      <c r="AA252" t="str">
        <f t="shared" si="37"/>
        <v>Valid</v>
      </c>
      <c r="AB252" s="9" t="str">
        <f t="shared" si="38"/>
        <v>Valid</v>
      </c>
      <c r="AC252" s="9" t="str">
        <f t="shared" si="39"/>
        <v>Valid</v>
      </c>
      <c r="AD252" s="9" t="str">
        <f>IF(AND(Y252="Valid",Z252="Valid",AA252="Valid",AB252="Valid",COUNTIF($A$2:A252,A252)=1),"Include","Exclude")</f>
        <v>Include</v>
      </c>
    </row>
    <row r="253" spans="1:30" x14ac:dyDescent="0.35">
      <c r="A253" t="s">
        <v>553</v>
      </c>
      <c r="B253" t="s">
        <v>554</v>
      </c>
      <c r="C253" t="s">
        <v>21</v>
      </c>
      <c r="D253">
        <v>54</v>
      </c>
      <c r="E253" t="s">
        <v>55</v>
      </c>
      <c r="F253" t="s">
        <v>33</v>
      </c>
      <c r="G253" t="s">
        <v>24</v>
      </c>
      <c r="H253" t="s">
        <v>25</v>
      </c>
      <c r="I253">
        <v>23</v>
      </c>
      <c r="J253">
        <v>61204</v>
      </c>
      <c r="K253" t="s">
        <v>45</v>
      </c>
      <c r="L253">
        <v>3</v>
      </c>
      <c r="M253">
        <v>25</v>
      </c>
      <c r="N253">
        <v>2</v>
      </c>
      <c r="O253" t="s">
        <v>27</v>
      </c>
      <c r="P253" t="s">
        <v>28</v>
      </c>
      <c r="Q253">
        <v>1</v>
      </c>
      <c r="R253" t="s">
        <v>28</v>
      </c>
      <c r="S253" t="s">
        <v>27</v>
      </c>
      <c r="T253" t="b">
        <f t="shared" si="30"/>
        <v>0</v>
      </c>
      <c r="U253" t="str">
        <f t="shared" si="31"/>
        <v>Employee_0252</v>
      </c>
      <c r="V253" t="str">
        <f t="shared" si="32"/>
        <v>Female</v>
      </c>
      <c r="W253" t="str">
        <f t="shared" si="33"/>
        <v>Sales</v>
      </c>
      <c r="X253" t="str">
        <f t="shared" si="34"/>
        <v>Hyderabad</v>
      </c>
      <c r="Y253" t="str">
        <f t="shared" si="35"/>
        <v>Valid</v>
      </c>
      <c r="Z253" t="str">
        <f t="shared" si="36"/>
        <v>Valid</v>
      </c>
      <c r="AA253" t="str">
        <f t="shared" si="37"/>
        <v>Valid</v>
      </c>
      <c r="AB253" s="9" t="str">
        <f t="shared" si="38"/>
        <v>Valid</v>
      </c>
      <c r="AC253" s="9" t="str">
        <f t="shared" si="39"/>
        <v>Valid</v>
      </c>
      <c r="AD253" s="9" t="str">
        <f>IF(AND(Y253="Valid",Z253="Valid",AA253="Valid",AB253="Valid",COUNTIF($A$2:A253,A253)=1),"Include","Exclude")</f>
        <v>Include</v>
      </c>
    </row>
    <row r="254" spans="1:30" x14ac:dyDescent="0.35">
      <c r="A254" t="s">
        <v>555</v>
      </c>
      <c r="B254" t="s">
        <v>556</v>
      </c>
      <c r="C254" t="s">
        <v>21</v>
      </c>
      <c r="D254">
        <v>48</v>
      </c>
      <c r="E254" t="s">
        <v>55</v>
      </c>
      <c r="F254" t="s">
        <v>33</v>
      </c>
      <c r="G254" t="s">
        <v>24</v>
      </c>
      <c r="H254" t="s">
        <v>25</v>
      </c>
      <c r="I254">
        <v>21</v>
      </c>
      <c r="J254">
        <v>79354</v>
      </c>
      <c r="K254" t="s">
        <v>45</v>
      </c>
      <c r="L254">
        <v>2</v>
      </c>
      <c r="M254">
        <v>32</v>
      </c>
      <c r="N254">
        <v>7</v>
      </c>
      <c r="O254" t="s">
        <v>28</v>
      </c>
      <c r="P254" t="s">
        <v>28</v>
      </c>
      <c r="Q254">
        <v>2</v>
      </c>
      <c r="R254" t="s">
        <v>27</v>
      </c>
      <c r="S254" t="s">
        <v>27</v>
      </c>
      <c r="T254" t="b">
        <f t="shared" si="30"/>
        <v>0</v>
      </c>
      <c r="U254" t="str">
        <f t="shared" si="31"/>
        <v>Employee_0253</v>
      </c>
      <c r="V254" t="str">
        <f t="shared" si="32"/>
        <v>Female</v>
      </c>
      <c r="W254" t="str">
        <f t="shared" si="33"/>
        <v>Sales</v>
      </c>
      <c r="X254" t="str">
        <f t="shared" si="34"/>
        <v>Hyderabad</v>
      </c>
      <c r="Y254" t="str">
        <f t="shared" si="35"/>
        <v>Valid</v>
      </c>
      <c r="Z254" t="str">
        <f t="shared" si="36"/>
        <v>Valid</v>
      </c>
      <c r="AA254" t="str">
        <f t="shared" si="37"/>
        <v>Valid</v>
      </c>
      <c r="AB254" s="9" t="str">
        <f t="shared" si="38"/>
        <v>Valid</v>
      </c>
      <c r="AC254" s="9" t="str">
        <f t="shared" si="39"/>
        <v>Valid</v>
      </c>
      <c r="AD254" s="9" t="str">
        <f>IF(AND(Y254="Valid",Z254="Valid",AA254="Valid",AB254="Valid",COUNTIF($A$2:A254,A254)=1),"Include","Exclude")</f>
        <v>Include</v>
      </c>
    </row>
    <row r="255" spans="1:30" x14ac:dyDescent="0.35">
      <c r="A255" t="s">
        <v>557</v>
      </c>
      <c r="B255" t="s">
        <v>558</v>
      </c>
      <c r="C255" t="s">
        <v>31</v>
      </c>
      <c r="D255">
        <v>28</v>
      </c>
      <c r="E255" t="s">
        <v>38</v>
      </c>
      <c r="F255" t="s">
        <v>23</v>
      </c>
      <c r="G255" t="s">
        <v>24</v>
      </c>
      <c r="H255" t="s">
        <v>25</v>
      </c>
      <c r="I255">
        <v>6</v>
      </c>
      <c r="J255">
        <v>56421</v>
      </c>
      <c r="K255" t="s">
        <v>35</v>
      </c>
      <c r="L255">
        <v>6</v>
      </c>
      <c r="M255">
        <v>52</v>
      </c>
      <c r="N255">
        <v>1</v>
      </c>
      <c r="O255" t="s">
        <v>28</v>
      </c>
      <c r="P255" t="s">
        <v>28</v>
      </c>
      <c r="Q255">
        <v>4</v>
      </c>
      <c r="R255" t="s">
        <v>27</v>
      </c>
      <c r="S255" t="s">
        <v>27</v>
      </c>
      <c r="T255" t="b">
        <f t="shared" si="30"/>
        <v>0</v>
      </c>
      <c r="U255" t="str">
        <f t="shared" si="31"/>
        <v>Employee_0254</v>
      </c>
      <c r="V255" t="str">
        <f t="shared" si="32"/>
        <v>Male</v>
      </c>
      <c r="W255" t="str">
        <f t="shared" si="33"/>
        <v>Finance</v>
      </c>
      <c r="X255" t="str">
        <f t="shared" si="34"/>
        <v>Hyderabad</v>
      </c>
      <c r="Y255" t="str">
        <f t="shared" si="35"/>
        <v>Valid</v>
      </c>
      <c r="Z255" t="str">
        <f t="shared" si="36"/>
        <v>Valid</v>
      </c>
      <c r="AA255" t="str">
        <f t="shared" si="37"/>
        <v>Valid</v>
      </c>
      <c r="AB255" s="9" t="str">
        <f t="shared" si="38"/>
        <v>Valid</v>
      </c>
      <c r="AC255" s="9" t="str">
        <f t="shared" si="39"/>
        <v>Valid</v>
      </c>
      <c r="AD255" s="9" t="str">
        <f>IF(AND(Y255="Valid",Z255="Valid",AA255="Valid",AB255="Valid",COUNTIF($A$2:A255,A255)=1),"Include","Exclude")</f>
        <v>Include</v>
      </c>
    </row>
    <row r="256" spans="1:30" x14ac:dyDescent="0.35">
      <c r="A256" t="s">
        <v>559</v>
      </c>
      <c r="B256" t="s">
        <v>560</v>
      </c>
      <c r="C256" t="s">
        <v>31</v>
      </c>
      <c r="D256">
        <v>27</v>
      </c>
      <c r="E256" t="s">
        <v>55</v>
      </c>
      <c r="F256" t="s">
        <v>64</v>
      </c>
      <c r="G256" t="s">
        <v>24</v>
      </c>
      <c r="H256" t="s">
        <v>52</v>
      </c>
      <c r="I256">
        <v>4</v>
      </c>
      <c r="J256">
        <v>57062</v>
      </c>
      <c r="K256" t="s">
        <v>35</v>
      </c>
      <c r="L256">
        <v>3</v>
      </c>
      <c r="M256">
        <v>28</v>
      </c>
      <c r="N256">
        <v>4</v>
      </c>
      <c r="O256" t="s">
        <v>28</v>
      </c>
      <c r="P256" t="s">
        <v>28</v>
      </c>
      <c r="Q256">
        <v>2</v>
      </c>
      <c r="R256" t="s">
        <v>28</v>
      </c>
      <c r="S256" t="s">
        <v>27</v>
      </c>
      <c r="T256" t="b">
        <f t="shared" si="30"/>
        <v>0</v>
      </c>
      <c r="U256" t="str">
        <f t="shared" si="31"/>
        <v>Employee_0255</v>
      </c>
      <c r="V256" t="str">
        <f t="shared" si="32"/>
        <v>Male</v>
      </c>
      <c r="W256" t="str">
        <f t="shared" si="33"/>
        <v>Marketing</v>
      </c>
      <c r="X256" t="str">
        <f t="shared" si="34"/>
        <v>Mumbai</v>
      </c>
      <c r="Y256" t="str">
        <f t="shared" si="35"/>
        <v>Valid</v>
      </c>
      <c r="Z256" t="str">
        <f t="shared" si="36"/>
        <v>Valid</v>
      </c>
      <c r="AA256" t="str">
        <f t="shared" si="37"/>
        <v>Valid</v>
      </c>
      <c r="AB256" s="9" t="str">
        <f t="shared" si="38"/>
        <v>Valid</v>
      </c>
      <c r="AC256" s="9" t="str">
        <f t="shared" si="39"/>
        <v>Valid</v>
      </c>
      <c r="AD256" s="9" t="str">
        <f>IF(AND(Y256="Valid",Z256="Valid",AA256="Valid",AB256="Valid",COUNTIF($A$2:A256,A256)=1),"Include","Exclude")</f>
        <v>Include</v>
      </c>
    </row>
    <row r="257" spans="1:30" x14ac:dyDescent="0.35">
      <c r="A257" t="s">
        <v>561</v>
      </c>
      <c r="B257" t="s">
        <v>562</v>
      </c>
      <c r="C257" t="s">
        <v>21</v>
      </c>
      <c r="D257">
        <v>55</v>
      </c>
      <c r="E257" t="s">
        <v>22</v>
      </c>
      <c r="F257" t="s">
        <v>23</v>
      </c>
      <c r="G257" t="s">
        <v>24</v>
      </c>
      <c r="H257" t="s">
        <v>52</v>
      </c>
      <c r="I257">
        <v>24</v>
      </c>
      <c r="J257">
        <v>68415</v>
      </c>
      <c r="K257" t="s">
        <v>45</v>
      </c>
      <c r="L257">
        <v>8</v>
      </c>
      <c r="M257">
        <v>50</v>
      </c>
      <c r="N257">
        <v>2</v>
      </c>
      <c r="O257" t="s">
        <v>27</v>
      </c>
      <c r="P257" t="s">
        <v>27</v>
      </c>
      <c r="Q257">
        <v>2</v>
      </c>
      <c r="R257" t="s">
        <v>27</v>
      </c>
      <c r="S257" t="s">
        <v>27</v>
      </c>
      <c r="T257" t="b">
        <f t="shared" si="30"/>
        <v>0</v>
      </c>
      <c r="U257" t="str">
        <f t="shared" si="31"/>
        <v>Employee_0256</v>
      </c>
      <c r="V257" t="str">
        <f t="shared" si="32"/>
        <v>Female</v>
      </c>
      <c r="W257" t="str">
        <f t="shared" si="33"/>
        <v>Finance</v>
      </c>
      <c r="X257" t="str">
        <f t="shared" si="34"/>
        <v>Mumbai</v>
      </c>
      <c r="Y257" t="str">
        <f t="shared" si="35"/>
        <v>Valid</v>
      </c>
      <c r="Z257" t="str">
        <f t="shared" si="36"/>
        <v>Valid</v>
      </c>
      <c r="AA257" t="str">
        <f t="shared" si="37"/>
        <v>Valid</v>
      </c>
      <c r="AB257" s="9" t="str">
        <f t="shared" si="38"/>
        <v>Valid</v>
      </c>
      <c r="AC257" s="9" t="str">
        <f t="shared" si="39"/>
        <v>Valid</v>
      </c>
      <c r="AD257" s="9" t="str">
        <f>IF(AND(Y257="Valid",Z257="Valid",AA257="Valid",AB257="Valid",COUNTIF($A$2:A257,A257)=1),"Include","Exclude")</f>
        <v>Include</v>
      </c>
    </row>
    <row r="258" spans="1:30" x14ac:dyDescent="0.35">
      <c r="A258" t="s">
        <v>563</v>
      </c>
      <c r="B258" t="s">
        <v>564</v>
      </c>
      <c r="C258" t="s">
        <v>21</v>
      </c>
      <c r="D258">
        <v>46</v>
      </c>
      <c r="E258" t="s">
        <v>55</v>
      </c>
      <c r="F258" t="s">
        <v>48</v>
      </c>
      <c r="G258" t="s">
        <v>24</v>
      </c>
      <c r="H258" t="s">
        <v>34</v>
      </c>
      <c r="I258">
        <v>20</v>
      </c>
      <c r="J258">
        <v>63485</v>
      </c>
      <c r="K258" t="s">
        <v>45</v>
      </c>
      <c r="L258">
        <v>4</v>
      </c>
      <c r="M258">
        <v>53</v>
      </c>
      <c r="N258">
        <v>2</v>
      </c>
      <c r="O258" t="s">
        <v>28</v>
      </c>
      <c r="P258" t="s">
        <v>28</v>
      </c>
      <c r="Q258">
        <v>5</v>
      </c>
      <c r="R258" t="s">
        <v>27</v>
      </c>
      <c r="S258" t="s">
        <v>27</v>
      </c>
      <c r="T258" t="b">
        <f t="shared" ref="T258:T321" si="40">COUNTIF($A$2:$A$503,A258)&gt;1</f>
        <v>0</v>
      </c>
      <c r="U258" t="str">
        <f t="shared" ref="U258:U321" si="41">TRIM(B258)</f>
        <v>Employee_0257</v>
      </c>
      <c r="V258" t="str">
        <f t="shared" ref="V258:V321" si="42">PROPER(TRIM(C258))</f>
        <v>Female</v>
      </c>
      <c r="W258" t="str">
        <f t="shared" ref="W258:W321" si="43">PROPER(TRIM(F258))</f>
        <v>Customer Support</v>
      </c>
      <c r="X258" t="str">
        <f t="shared" ref="X258:X321" si="44">PROPER(TRIM(H258))</f>
        <v>Gurgaon</v>
      </c>
      <c r="Y258" t="str">
        <f t="shared" ref="Y258:Y321" si="45">IF(J258&lt;=0,"Check","Valid")</f>
        <v>Valid</v>
      </c>
      <c r="Z258" t="str">
        <f t="shared" ref="Z258:Z321" si="46">IF(AND(L258&gt;=1,L258&lt;=10),"Valid","Check")</f>
        <v>Valid</v>
      </c>
      <c r="AA258" t="str">
        <f t="shared" ref="AA258:AA321" si="47">IF(AND(M258&gt;=0,M258&lt;=200),"Valid","Check")</f>
        <v>Valid</v>
      </c>
      <c r="AB258" s="9" t="str">
        <f t="shared" ref="AB258:AB321" si="48">IF(AND(I258&gt;=0,I258&lt;=50),"Valid","Check")</f>
        <v>Valid</v>
      </c>
      <c r="AC258" s="9" t="str">
        <f t="shared" ref="AC258:AC321" si="49">IF(OR(T258=TRUE,Y258="Check",Z258="Check",AA258="Check",AB258="Check"),"Check","Valid")</f>
        <v>Valid</v>
      </c>
      <c r="AD258" s="9" t="str">
        <f>IF(AND(Y258="Valid",Z258="Valid",AA258="Valid",AB258="Valid",COUNTIF($A$2:A258,A258)=1),"Include","Exclude")</f>
        <v>Include</v>
      </c>
    </row>
    <row r="259" spans="1:30" x14ac:dyDescent="0.35">
      <c r="A259" t="s">
        <v>565</v>
      </c>
      <c r="B259" t="s">
        <v>566</v>
      </c>
      <c r="C259" t="s">
        <v>31</v>
      </c>
      <c r="D259">
        <v>55</v>
      </c>
      <c r="E259" t="s">
        <v>55</v>
      </c>
      <c r="F259" t="s">
        <v>23</v>
      </c>
      <c r="G259" t="s">
        <v>24</v>
      </c>
      <c r="H259" t="s">
        <v>25</v>
      </c>
      <c r="I259">
        <v>18</v>
      </c>
      <c r="J259">
        <v>80889</v>
      </c>
      <c r="K259" t="s">
        <v>26</v>
      </c>
      <c r="L259">
        <v>4</v>
      </c>
      <c r="M259">
        <v>11</v>
      </c>
      <c r="N259">
        <v>2</v>
      </c>
      <c r="O259" t="s">
        <v>28</v>
      </c>
      <c r="P259" t="s">
        <v>28</v>
      </c>
      <c r="Q259">
        <v>5</v>
      </c>
      <c r="R259" t="s">
        <v>27</v>
      </c>
      <c r="S259" t="s">
        <v>27</v>
      </c>
      <c r="T259" t="b">
        <f t="shared" si="40"/>
        <v>0</v>
      </c>
      <c r="U259" t="str">
        <f t="shared" si="41"/>
        <v>Employee_0258</v>
      </c>
      <c r="V259" t="str">
        <f t="shared" si="42"/>
        <v>Male</v>
      </c>
      <c r="W259" t="str">
        <f t="shared" si="43"/>
        <v>Finance</v>
      </c>
      <c r="X259" t="str">
        <f t="shared" si="44"/>
        <v>Hyderabad</v>
      </c>
      <c r="Y259" t="str">
        <f t="shared" si="45"/>
        <v>Valid</v>
      </c>
      <c r="Z259" t="str">
        <f t="shared" si="46"/>
        <v>Valid</v>
      </c>
      <c r="AA259" t="str">
        <f t="shared" si="47"/>
        <v>Valid</v>
      </c>
      <c r="AB259" s="9" t="str">
        <f t="shared" si="48"/>
        <v>Valid</v>
      </c>
      <c r="AC259" s="9" t="str">
        <f t="shared" si="49"/>
        <v>Valid</v>
      </c>
      <c r="AD259" s="9" t="str">
        <f>IF(AND(Y259="Valid",Z259="Valid",AA259="Valid",AB259="Valid",COUNTIF($A$2:A259,A259)=1),"Include","Exclude")</f>
        <v>Include</v>
      </c>
    </row>
    <row r="260" spans="1:30" x14ac:dyDescent="0.35">
      <c r="A260" t="s">
        <v>567</v>
      </c>
      <c r="B260" t="s">
        <v>568</v>
      </c>
      <c r="C260" t="s">
        <v>31</v>
      </c>
      <c r="D260">
        <v>42</v>
      </c>
      <c r="E260" t="s">
        <v>22</v>
      </c>
      <c r="F260" t="s">
        <v>64</v>
      </c>
      <c r="G260" t="s">
        <v>69</v>
      </c>
      <c r="H260" t="s">
        <v>70</v>
      </c>
      <c r="I260">
        <v>18</v>
      </c>
      <c r="J260">
        <v>58686</v>
      </c>
      <c r="K260" t="s">
        <v>40</v>
      </c>
      <c r="L260">
        <v>10</v>
      </c>
      <c r="M260">
        <v>31</v>
      </c>
      <c r="N260">
        <v>5</v>
      </c>
      <c r="O260" t="s">
        <v>28</v>
      </c>
      <c r="P260" t="s">
        <v>28</v>
      </c>
      <c r="Q260">
        <v>3</v>
      </c>
      <c r="R260" t="s">
        <v>27</v>
      </c>
      <c r="S260" t="s">
        <v>28</v>
      </c>
      <c r="T260" t="b">
        <f t="shared" si="40"/>
        <v>0</v>
      </c>
      <c r="U260" t="str">
        <f t="shared" si="41"/>
        <v>Employee_0259</v>
      </c>
      <c r="V260" t="str">
        <f t="shared" si="42"/>
        <v>Male</v>
      </c>
      <c r="W260" t="str">
        <f t="shared" si="43"/>
        <v>Marketing</v>
      </c>
      <c r="X260" t="str">
        <f t="shared" si="44"/>
        <v>Bangalore</v>
      </c>
      <c r="Y260" t="str">
        <f t="shared" si="45"/>
        <v>Valid</v>
      </c>
      <c r="Z260" t="str">
        <f t="shared" si="46"/>
        <v>Valid</v>
      </c>
      <c r="AA260" t="str">
        <f t="shared" si="47"/>
        <v>Valid</v>
      </c>
      <c r="AB260" s="9" t="str">
        <f t="shared" si="48"/>
        <v>Valid</v>
      </c>
      <c r="AC260" s="9" t="str">
        <f t="shared" si="49"/>
        <v>Valid</v>
      </c>
      <c r="AD260" s="9" t="str">
        <f>IF(AND(Y260="Valid",Z260="Valid",AA260="Valid",AB260="Valid",COUNTIF($A$2:A260,A260)=1),"Include","Exclude")</f>
        <v>Include</v>
      </c>
    </row>
    <row r="261" spans="1:30" x14ac:dyDescent="0.35">
      <c r="A261" t="s">
        <v>569</v>
      </c>
      <c r="B261" t="s">
        <v>570</v>
      </c>
      <c r="C261" t="s">
        <v>31</v>
      </c>
      <c r="D261">
        <v>39</v>
      </c>
      <c r="E261" t="s">
        <v>32</v>
      </c>
      <c r="F261" t="s">
        <v>43</v>
      </c>
      <c r="G261" t="s">
        <v>24</v>
      </c>
      <c r="H261" t="s">
        <v>70</v>
      </c>
      <c r="I261">
        <v>12</v>
      </c>
      <c r="J261">
        <v>69733</v>
      </c>
      <c r="K261" t="s">
        <v>26</v>
      </c>
      <c r="L261">
        <v>8</v>
      </c>
      <c r="M261">
        <v>37</v>
      </c>
      <c r="N261">
        <v>5</v>
      </c>
      <c r="O261" t="s">
        <v>27</v>
      </c>
      <c r="P261" t="s">
        <v>28</v>
      </c>
      <c r="Q261">
        <v>2</v>
      </c>
      <c r="R261" t="s">
        <v>27</v>
      </c>
      <c r="S261" t="s">
        <v>27</v>
      </c>
      <c r="T261" t="b">
        <f t="shared" si="40"/>
        <v>0</v>
      </c>
      <c r="U261" t="str">
        <f t="shared" si="41"/>
        <v>Employee_0260</v>
      </c>
      <c r="V261" t="str">
        <f t="shared" si="42"/>
        <v>Male</v>
      </c>
      <c r="W261" t="str">
        <f t="shared" si="43"/>
        <v>It</v>
      </c>
      <c r="X261" t="str">
        <f t="shared" si="44"/>
        <v>Bangalore</v>
      </c>
      <c r="Y261" t="str">
        <f t="shared" si="45"/>
        <v>Valid</v>
      </c>
      <c r="Z261" t="str">
        <f t="shared" si="46"/>
        <v>Valid</v>
      </c>
      <c r="AA261" t="str">
        <f t="shared" si="47"/>
        <v>Valid</v>
      </c>
      <c r="AB261" s="9" t="str">
        <f t="shared" si="48"/>
        <v>Valid</v>
      </c>
      <c r="AC261" s="9" t="str">
        <f t="shared" si="49"/>
        <v>Valid</v>
      </c>
      <c r="AD261" s="9" t="str">
        <f>IF(AND(Y261="Valid",Z261="Valid",AA261="Valid",AB261="Valid",COUNTIF($A$2:A261,A261)=1),"Include","Exclude")</f>
        <v>Include</v>
      </c>
    </row>
    <row r="262" spans="1:30" x14ac:dyDescent="0.35">
      <c r="A262" t="s">
        <v>571</v>
      </c>
      <c r="B262" t="s">
        <v>572</v>
      </c>
      <c r="C262" t="s">
        <v>21</v>
      </c>
      <c r="D262">
        <v>51</v>
      </c>
      <c r="E262" t="s">
        <v>22</v>
      </c>
      <c r="F262" t="s">
        <v>573</v>
      </c>
      <c r="G262" t="s">
        <v>24</v>
      </c>
      <c r="H262" t="s">
        <v>34</v>
      </c>
      <c r="I262">
        <v>14</v>
      </c>
      <c r="J262">
        <v>68779</v>
      </c>
      <c r="K262" t="s">
        <v>35</v>
      </c>
      <c r="L262">
        <v>3</v>
      </c>
      <c r="M262">
        <v>40</v>
      </c>
      <c r="N262">
        <v>1</v>
      </c>
      <c r="O262" t="s">
        <v>27</v>
      </c>
      <c r="P262" t="s">
        <v>27</v>
      </c>
      <c r="Q262">
        <v>3</v>
      </c>
      <c r="R262" t="s">
        <v>27</v>
      </c>
      <c r="S262" t="s">
        <v>27</v>
      </c>
      <c r="T262" t="b">
        <f t="shared" si="40"/>
        <v>0</v>
      </c>
      <c r="U262" t="str">
        <f t="shared" si="41"/>
        <v>Employee_0261</v>
      </c>
      <c r="V262" t="str">
        <f t="shared" si="42"/>
        <v>Female</v>
      </c>
      <c r="W262" t="str">
        <f t="shared" si="43"/>
        <v>Hr</v>
      </c>
      <c r="X262" t="str">
        <f t="shared" si="44"/>
        <v>Gurgaon</v>
      </c>
      <c r="Y262" t="str">
        <f t="shared" si="45"/>
        <v>Valid</v>
      </c>
      <c r="Z262" t="str">
        <f t="shared" si="46"/>
        <v>Valid</v>
      </c>
      <c r="AA262" t="str">
        <f t="shared" si="47"/>
        <v>Valid</v>
      </c>
      <c r="AB262" s="9" t="str">
        <f t="shared" si="48"/>
        <v>Valid</v>
      </c>
      <c r="AC262" s="9" t="str">
        <f t="shared" si="49"/>
        <v>Valid</v>
      </c>
      <c r="AD262" s="9" t="str">
        <f>IF(AND(Y262="Valid",Z262="Valid",AA262="Valid",AB262="Valid",COUNTIF($A$2:A262,A262)=1),"Include","Exclude")</f>
        <v>Include</v>
      </c>
    </row>
    <row r="263" spans="1:30" x14ac:dyDescent="0.35">
      <c r="A263" t="s">
        <v>574</v>
      </c>
      <c r="B263" t="s">
        <v>575</v>
      </c>
      <c r="C263" t="s">
        <v>21</v>
      </c>
      <c r="D263">
        <v>46</v>
      </c>
      <c r="E263" t="s">
        <v>55</v>
      </c>
      <c r="F263" t="s">
        <v>64</v>
      </c>
      <c r="G263" t="s">
        <v>24</v>
      </c>
      <c r="H263" t="s">
        <v>131</v>
      </c>
      <c r="I263">
        <v>12</v>
      </c>
      <c r="J263">
        <v>58532</v>
      </c>
      <c r="K263" t="s">
        <v>35</v>
      </c>
      <c r="L263">
        <v>4</v>
      </c>
      <c r="M263">
        <v>23</v>
      </c>
      <c r="N263">
        <v>6</v>
      </c>
      <c r="O263" t="s">
        <v>27</v>
      </c>
      <c r="P263" t="s">
        <v>28</v>
      </c>
      <c r="Q263">
        <v>3</v>
      </c>
      <c r="R263" t="s">
        <v>28</v>
      </c>
      <c r="S263" t="s">
        <v>27</v>
      </c>
      <c r="T263" t="b">
        <f t="shared" si="40"/>
        <v>0</v>
      </c>
      <c r="U263" t="str">
        <f t="shared" si="41"/>
        <v>Employee_0262</v>
      </c>
      <c r="V263" t="str">
        <f t="shared" si="42"/>
        <v>Female</v>
      </c>
      <c r="W263" t="str">
        <f t="shared" si="43"/>
        <v>Marketing</v>
      </c>
      <c r="X263" t="str">
        <f t="shared" si="44"/>
        <v>Pune</v>
      </c>
      <c r="Y263" t="str">
        <f t="shared" si="45"/>
        <v>Valid</v>
      </c>
      <c r="Z263" t="str">
        <f t="shared" si="46"/>
        <v>Valid</v>
      </c>
      <c r="AA263" t="str">
        <f t="shared" si="47"/>
        <v>Valid</v>
      </c>
      <c r="AB263" s="9" t="str">
        <f t="shared" si="48"/>
        <v>Valid</v>
      </c>
      <c r="AC263" s="9" t="str">
        <f t="shared" si="49"/>
        <v>Valid</v>
      </c>
      <c r="AD263" s="9" t="str">
        <f>IF(AND(Y263="Valid",Z263="Valid",AA263="Valid",AB263="Valid",COUNTIF($A$2:A263,A263)=1),"Include","Exclude")</f>
        <v>Include</v>
      </c>
    </row>
    <row r="264" spans="1:30" x14ac:dyDescent="0.35">
      <c r="A264" t="s">
        <v>576</v>
      </c>
      <c r="B264" t="s">
        <v>577</v>
      </c>
      <c r="C264" t="s">
        <v>31</v>
      </c>
      <c r="D264">
        <v>53</v>
      </c>
      <c r="E264" t="s">
        <v>38</v>
      </c>
      <c r="F264" t="s">
        <v>64</v>
      </c>
      <c r="G264" t="s">
        <v>24</v>
      </c>
      <c r="H264" t="s">
        <v>61</v>
      </c>
      <c r="I264">
        <v>23</v>
      </c>
      <c r="J264">
        <v>76841</v>
      </c>
      <c r="K264" t="s">
        <v>45</v>
      </c>
      <c r="L264">
        <v>6</v>
      </c>
      <c r="M264">
        <v>42</v>
      </c>
      <c r="N264">
        <v>3</v>
      </c>
      <c r="O264" t="s">
        <v>28</v>
      </c>
      <c r="P264" t="s">
        <v>28</v>
      </c>
      <c r="Q264">
        <v>3</v>
      </c>
      <c r="R264" t="s">
        <v>27</v>
      </c>
      <c r="S264" t="s">
        <v>27</v>
      </c>
      <c r="T264" t="b">
        <f t="shared" si="40"/>
        <v>0</v>
      </c>
      <c r="U264" t="str">
        <f t="shared" si="41"/>
        <v>Employee_0263</v>
      </c>
      <c r="V264" t="str">
        <f t="shared" si="42"/>
        <v>Male</v>
      </c>
      <c r="W264" t="str">
        <f t="shared" si="43"/>
        <v>Marketing</v>
      </c>
      <c r="X264" t="str">
        <f t="shared" si="44"/>
        <v>Noida</v>
      </c>
      <c r="Y264" t="str">
        <f t="shared" si="45"/>
        <v>Valid</v>
      </c>
      <c r="Z264" t="str">
        <f t="shared" si="46"/>
        <v>Valid</v>
      </c>
      <c r="AA264" t="str">
        <f t="shared" si="47"/>
        <v>Valid</v>
      </c>
      <c r="AB264" s="9" t="str">
        <f t="shared" si="48"/>
        <v>Valid</v>
      </c>
      <c r="AC264" s="9" t="str">
        <f t="shared" si="49"/>
        <v>Valid</v>
      </c>
      <c r="AD264" s="9" t="str">
        <f>IF(AND(Y264="Valid",Z264="Valid",AA264="Valid",AB264="Valid",COUNTIF($A$2:A264,A264)=1),"Include","Exclude")</f>
        <v>Include</v>
      </c>
    </row>
    <row r="265" spans="1:30" x14ac:dyDescent="0.35">
      <c r="A265" t="s">
        <v>578</v>
      </c>
      <c r="B265" t="s">
        <v>579</v>
      </c>
      <c r="C265" t="s">
        <v>21</v>
      </c>
      <c r="D265">
        <v>52</v>
      </c>
      <c r="E265" t="s">
        <v>55</v>
      </c>
      <c r="F265" t="s">
        <v>23</v>
      </c>
      <c r="G265" t="s">
        <v>24</v>
      </c>
      <c r="H265" t="s">
        <v>52</v>
      </c>
      <c r="I265">
        <v>25</v>
      </c>
      <c r="J265">
        <v>70127</v>
      </c>
      <c r="K265" t="s">
        <v>40</v>
      </c>
      <c r="L265">
        <v>7</v>
      </c>
      <c r="M265">
        <v>0</v>
      </c>
      <c r="N265">
        <v>2</v>
      </c>
      <c r="O265" t="s">
        <v>27</v>
      </c>
      <c r="P265" t="s">
        <v>27</v>
      </c>
      <c r="Q265">
        <v>3</v>
      </c>
      <c r="R265" t="s">
        <v>27</v>
      </c>
      <c r="S265" t="s">
        <v>27</v>
      </c>
      <c r="T265" t="b">
        <f t="shared" si="40"/>
        <v>0</v>
      </c>
      <c r="U265" t="str">
        <f t="shared" si="41"/>
        <v>Employee_0264</v>
      </c>
      <c r="V265" t="str">
        <f t="shared" si="42"/>
        <v>Female</v>
      </c>
      <c r="W265" t="str">
        <f t="shared" si="43"/>
        <v>Finance</v>
      </c>
      <c r="X265" t="str">
        <f t="shared" si="44"/>
        <v>Mumbai</v>
      </c>
      <c r="Y265" t="str">
        <f t="shared" si="45"/>
        <v>Valid</v>
      </c>
      <c r="Z265" t="str">
        <f t="shared" si="46"/>
        <v>Valid</v>
      </c>
      <c r="AA265" t="str">
        <f t="shared" si="47"/>
        <v>Valid</v>
      </c>
      <c r="AB265" s="9" t="str">
        <f t="shared" si="48"/>
        <v>Valid</v>
      </c>
      <c r="AC265" s="9" t="str">
        <f t="shared" si="49"/>
        <v>Valid</v>
      </c>
      <c r="AD265" s="9" t="str">
        <f>IF(AND(Y265="Valid",Z265="Valid",AA265="Valid",AB265="Valid",COUNTIF($A$2:A265,A265)=1),"Include","Exclude")</f>
        <v>Include</v>
      </c>
    </row>
    <row r="266" spans="1:30" x14ac:dyDescent="0.35">
      <c r="A266" t="s">
        <v>580</v>
      </c>
      <c r="B266" t="s">
        <v>581</v>
      </c>
      <c r="C266" t="s">
        <v>21</v>
      </c>
      <c r="D266">
        <v>22</v>
      </c>
      <c r="E266" t="s">
        <v>55</v>
      </c>
      <c r="F266" t="s">
        <v>48</v>
      </c>
      <c r="G266" t="s">
        <v>24</v>
      </c>
      <c r="H266" t="s">
        <v>25</v>
      </c>
      <c r="I266">
        <v>1</v>
      </c>
      <c r="J266">
        <v>47379</v>
      </c>
      <c r="K266" t="s">
        <v>40</v>
      </c>
      <c r="L266">
        <v>5</v>
      </c>
      <c r="M266">
        <v>60</v>
      </c>
      <c r="N266">
        <v>2</v>
      </c>
      <c r="O266" t="s">
        <v>28</v>
      </c>
      <c r="P266" t="s">
        <v>28</v>
      </c>
      <c r="Q266">
        <v>4</v>
      </c>
      <c r="R266" t="s">
        <v>27</v>
      </c>
      <c r="S266" t="s">
        <v>27</v>
      </c>
      <c r="T266" t="b">
        <f t="shared" si="40"/>
        <v>0</v>
      </c>
      <c r="U266" t="str">
        <f t="shared" si="41"/>
        <v>Employee_0265</v>
      </c>
      <c r="V266" t="str">
        <f t="shared" si="42"/>
        <v>Female</v>
      </c>
      <c r="W266" t="str">
        <f t="shared" si="43"/>
        <v>Customer Support</v>
      </c>
      <c r="X266" t="str">
        <f t="shared" si="44"/>
        <v>Hyderabad</v>
      </c>
      <c r="Y266" t="str">
        <f t="shared" si="45"/>
        <v>Valid</v>
      </c>
      <c r="Z266" t="str">
        <f t="shared" si="46"/>
        <v>Valid</v>
      </c>
      <c r="AA266" t="str">
        <f t="shared" si="47"/>
        <v>Valid</v>
      </c>
      <c r="AB266" s="9" t="str">
        <f t="shared" si="48"/>
        <v>Valid</v>
      </c>
      <c r="AC266" s="9" t="str">
        <f t="shared" si="49"/>
        <v>Valid</v>
      </c>
      <c r="AD266" s="9" t="str">
        <f>IF(AND(Y266="Valid",Z266="Valid",AA266="Valid",AB266="Valid",COUNTIF($A$2:A266,A266)=1),"Include","Exclude")</f>
        <v>Include</v>
      </c>
    </row>
    <row r="267" spans="1:30" x14ac:dyDescent="0.35">
      <c r="A267" t="s">
        <v>582</v>
      </c>
      <c r="B267" t="s">
        <v>583</v>
      </c>
      <c r="C267" t="s">
        <v>21</v>
      </c>
      <c r="D267">
        <v>51</v>
      </c>
      <c r="E267" t="s">
        <v>38</v>
      </c>
      <c r="F267" t="s">
        <v>60</v>
      </c>
      <c r="G267" t="s">
        <v>44</v>
      </c>
      <c r="H267" t="s">
        <v>70</v>
      </c>
      <c r="I267">
        <v>23</v>
      </c>
      <c r="J267">
        <v>63637</v>
      </c>
      <c r="K267" t="s">
        <v>26</v>
      </c>
      <c r="L267">
        <v>8</v>
      </c>
      <c r="M267">
        <v>48</v>
      </c>
      <c r="N267">
        <v>2</v>
      </c>
      <c r="O267" t="s">
        <v>27</v>
      </c>
      <c r="P267" t="s">
        <v>27</v>
      </c>
      <c r="Q267">
        <v>1</v>
      </c>
      <c r="R267" t="s">
        <v>27</v>
      </c>
      <c r="S267" t="s">
        <v>27</v>
      </c>
      <c r="T267" t="b">
        <f t="shared" si="40"/>
        <v>0</v>
      </c>
      <c r="U267" t="str">
        <f t="shared" si="41"/>
        <v>Employee_0266</v>
      </c>
      <c r="V267" t="str">
        <f t="shared" si="42"/>
        <v>Female</v>
      </c>
      <c r="W267" t="str">
        <f t="shared" si="43"/>
        <v>Hr</v>
      </c>
      <c r="X267" t="str">
        <f t="shared" si="44"/>
        <v>Bangalore</v>
      </c>
      <c r="Y267" t="str">
        <f t="shared" si="45"/>
        <v>Valid</v>
      </c>
      <c r="Z267" t="str">
        <f t="shared" si="46"/>
        <v>Valid</v>
      </c>
      <c r="AA267" t="str">
        <f t="shared" si="47"/>
        <v>Valid</v>
      </c>
      <c r="AB267" s="9" t="str">
        <f t="shared" si="48"/>
        <v>Valid</v>
      </c>
      <c r="AC267" s="9" t="str">
        <f t="shared" si="49"/>
        <v>Valid</v>
      </c>
      <c r="AD267" s="9" t="str">
        <f>IF(AND(Y267="Valid",Z267="Valid",AA267="Valid",AB267="Valid",COUNTIF($A$2:A267,A267)=1),"Include","Exclude")</f>
        <v>Include</v>
      </c>
    </row>
    <row r="268" spans="1:30" x14ac:dyDescent="0.35">
      <c r="A268" t="s">
        <v>584</v>
      </c>
      <c r="B268" t="s">
        <v>585</v>
      </c>
      <c r="C268" t="s">
        <v>21</v>
      </c>
      <c r="D268">
        <v>52</v>
      </c>
      <c r="E268" t="s">
        <v>55</v>
      </c>
      <c r="F268" t="s">
        <v>43</v>
      </c>
      <c r="G268" t="s">
        <v>24</v>
      </c>
      <c r="H268" t="s">
        <v>49</v>
      </c>
      <c r="I268">
        <v>18</v>
      </c>
      <c r="J268">
        <v>82000</v>
      </c>
      <c r="K268" t="s">
        <v>45</v>
      </c>
      <c r="L268">
        <v>2</v>
      </c>
      <c r="M268">
        <v>56</v>
      </c>
      <c r="N268">
        <v>2</v>
      </c>
      <c r="O268" t="s">
        <v>27</v>
      </c>
      <c r="P268" t="s">
        <v>28</v>
      </c>
      <c r="Q268">
        <v>2</v>
      </c>
      <c r="R268" t="s">
        <v>27</v>
      </c>
      <c r="S268" t="s">
        <v>27</v>
      </c>
      <c r="T268" t="b">
        <f t="shared" si="40"/>
        <v>0</v>
      </c>
      <c r="U268" t="str">
        <f t="shared" si="41"/>
        <v>Employee_0267</v>
      </c>
      <c r="V268" t="str">
        <f t="shared" si="42"/>
        <v>Female</v>
      </c>
      <c r="W268" t="str">
        <f t="shared" si="43"/>
        <v>It</v>
      </c>
      <c r="X268" t="str">
        <f t="shared" si="44"/>
        <v>Delhi</v>
      </c>
      <c r="Y268" t="str">
        <f t="shared" si="45"/>
        <v>Valid</v>
      </c>
      <c r="Z268" t="str">
        <f t="shared" si="46"/>
        <v>Valid</v>
      </c>
      <c r="AA268" t="str">
        <f t="shared" si="47"/>
        <v>Valid</v>
      </c>
      <c r="AB268" s="9" t="str">
        <f t="shared" si="48"/>
        <v>Valid</v>
      </c>
      <c r="AC268" s="9" t="str">
        <f t="shared" si="49"/>
        <v>Valid</v>
      </c>
      <c r="AD268" s="9" t="str">
        <f>IF(AND(Y268="Valid",Z268="Valid",AA268="Valid",AB268="Valid",COUNTIF($A$2:A268,A268)=1),"Include","Exclude")</f>
        <v>Include</v>
      </c>
    </row>
    <row r="269" spans="1:30" x14ac:dyDescent="0.35">
      <c r="A269" t="s">
        <v>586</v>
      </c>
      <c r="B269" t="s">
        <v>587</v>
      </c>
      <c r="C269" t="s">
        <v>21</v>
      </c>
      <c r="D269">
        <v>40</v>
      </c>
      <c r="E269" t="s">
        <v>32</v>
      </c>
      <c r="F269" t="s">
        <v>33</v>
      </c>
      <c r="G269" t="s">
        <v>44</v>
      </c>
      <c r="H269" t="s">
        <v>25</v>
      </c>
      <c r="I269">
        <v>12</v>
      </c>
      <c r="J269">
        <v>67919</v>
      </c>
      <c r="K269" t="s">
        <v>45</v>
      </c>
      <c r="L269">
        <v>1</v>
      </c>
      <c r="M269">
        <v>30</v>
      </c>
      <c r="N269">
        <v>5</v>
      </c>
      <c r="O269" t="s">
        <v>27</v>
      </c>
      <c r="P269" t="s">
        <v>28</v>
      </c>
      <c r="Q269">
        <v>2</v>
      </c>
      <c r="R269" t="s">
        <v>27</v>
      </c>
      <c r="S269" t="s">
        <v>27</v>
      </c>
      <c r="T269" t="b">
        <f t="shared" si="40"/>
        <v>0</v>
      </c>
      <c r="U269" t="str">
        <f t="shared" si="41"/>
        <v>Employee_0268</v>
      </c>
      <c r="V269" t="str">
        <f t="shared" si="42"/>
        <v>Female</v>
      </c>
      <c r="W269" t="str">
        <f t="shared" si="43"/>
        <v>Sales</v>
      </c>
      <c r="X269" t="str">
        <f t="shared" si="44"/>
        <v>Hyderabad</v>
      </c>
      <c r="Y269" t="str">
        <f t="shared" si="45"/>
        <v>Valid</v>
      </c>
      <c r="Z269" t="str">
        <f t="shared" si="46"/>
        <v>Valid</v>
      </c>
      <c r="AA269" t="str">
        <f t="shared" si="47"/>
        <v>Valid</v>
      </c>
      <c r="AB269" s="9" t="str">
        <f t="shared" si="48"/>
        <v>Valid</v>
      </c>
      <c r="AC269" s="9" t="str">
        <f t="shared" si="49"/>
        <v>Valid</v>
      </c>
      <c r="AD269" s="9" t="str">
        <f>IF(AND(Y269="Valid",Z269="Valid",AA269="Valid",AB269="Valid",COUNTIF($A$2:A269,A269)=1),"Include","Exclude")</f>
        <v>Include</v>
      </c>
    </row>
    <row r="270" spans="1:30" x14ac:dyDescent="0.35">
      <c r="A270" t="s">
        <v>588</v>
      </c>
      <c r="B270" t="s">
        <v>589</v>
      </c>
      <c r="C270" t="s">
        <v>31</v>
      </c>
      <c r="D270">
        <v>39</v>
      </c>
      <c r="E270" t="s">
        <v>38</v>
      </c>
      <c r="F270" t="s">
        <v>64</v>
      </c>
      <c r="G270" t="s">
        <v>44</v>
      </c>
      <c r="H270" t="s">
        <v>70</v>
      </c>
      <c r="I270">
        <v>10</v>
      </c>
      <c r="J270">
        <v>72201</v>
      </c>
      <c r="K270" t="s">
        <v>35</v>
      </c>
      <c r="L270">
        <v>9</v>
      </c>
      <c r="M270">
        <v>21</v>
      </c>
      <c r="N270">
        <v>4</v>
      </c>
      <c r="O270" t="s">
        <v>27</v>
      </c>
      <c r="P270" t="s">
        <v>28</v>
      </c>
      <c r="Q270">
        <v>4</v>
      </c>
      <c r="R270" t="s">
        <v>27</v>
      </c>
      <c r="S270" t="s">
        <v>27</v>
      </c>
      <c r="T270" t="b">
        <f t="shared" si="40"/>
        <v>0</v>
      </c>
      <c r="U270" t="str">
        <f t="shared" si="41"/>
        <v>Employee_0269</v>
      </c>
      <c r="V270" t="str">
        <f t="shared" si="42"/>
        <v>Male</v>
      </c>
      <c r="W270" t="str">
        <f t="shared" si="43"/>
        <v>Marketing</v>
      </c>
      <c r="X270" t="str">
        <f t="shared" si="44"/>
        <v>Bangalore</v>
      </c>
      <c r="Y270" t="str">
        <f t="shared" si="45"/>
        <v>Valid</v>
      </c>
      <c r="Z270" t="str">
        <f t="shared" si="46"/>
        <v>Valid</v>
      </c>
      <c r="AA270" t="str">
        <f t="shared" si="47"/>
        <v>Valid</v>
      </c>
      <c r="AB270" s="9" t="str">
        <f t="shared" si="48"/>
        <v>Valid</v>
      </c>
      <c r="AC270" s="9" t="str">
        <f t="shared" si="49"/>
        <v>Valid</v>
      </c>
      <c r="AD270" s="9" t="str">
        <f>IF(AND(Y270="Valid",Z270="Valid",AA270="Valid",AB270="Valid",COUNTIF($A$2:A270,A270)=1),"Include","Exclude")</f>
        <v>Include</v>
      </c>
    </row>
    <row r="271" spans="1:30" x14ac:dyDescent="0.35">
      <c r="A271" t="s">
        <v>590</v>
      </c>
      <c r="B271" t="s">
        <v>591</v>
      </c>
      <c r="C271" t="s">
        <v>21</v>
      </c>
      <c r="D271">
        <v>34</v>
      </c>
      <c r="E271" t="s">
        <v>55</v>
      </c>
      <c r="F271" t="s">
        <v>64</v>
      </c>
      <c r="G271" t="s">
        <v>69</v>
      </c>
      <c r="H271" t="s">
        <v>34</v>
      </c>
      <c r="I271">
        <v>8</v>
      </c>
      <c r="J271">
        <v>55445</v>
      </c>
      <c r="K271" t="s">
        <v>40</v>
      </c>
      <c r="L271">
        <v>6</v>
      </c>
      <c r="M271">
        <v>40</v>
      </c>
      <c r="N271">
        <v>5</v>
      </c>
      <c r="O271" t="s">
        <v>27</v>
      </c>
      <c r="P271" t="s">
        <v>27</v>
      </c>
      <c r="Q271">
        <v>2</v>
      </c>
      <c r="R271" t="s">
        <v>28</v>
      </c>
      <c r="S271" t="s">
        <v>27</v>
      </c>
      <c r="T271" t="b">
        <f t="shared" si="40"/>
        <v>0</v>
      </c>
      <c r="U271" t="str">
        <f t="shared" si="41"/>
        <v>Employee_0270</v>
      </c>
      <c r="V271" t="str">
        <f t="shared" si="42"/>
        <v>Female</v>
      </c>
      <c r="W271" t="str">
        <f t="shared" si="43"/>
        <v>Marketing</v>
      </c>
      <c r="X271" t="str">
        <f t="shared" si="44"/>
        <v>Gurgaon</v>
      </c>
      <c r="Y271" t="str">
        <f t="shared" si="45"/>
        <v>Valid</v>
      </c>
      <c r="Z271" t="str">
        <f t="shared" si="46"/>
        <v>Valid</v>
      </c>
      <c r="AA271" t="str">
        <f t="shared" si="47"/>
        <v>Valid</v>
      </c>
      <c r="AB271" s="9" t="str">
        <f t="shared" si="48"/>
        <v>Valid</v>
      </c>
      <c r="AC271" s="9" t="str">
        <f t="shared" si="49"/>
        <v>Valid</v>
      </c>
      <c r="AD271" s="9" t="str">
        <f>IF(AND(Y271="Valid",Z271="Valid",AA271="Valid",AB271="Valid",COUNTIF($A$2:A271,A271)=1),"Include","Exclude")</f>
        <v>Include</v>
      </c>
    </row>
    <row r="272" spans="1:30" x14ac:dyDescent="0.35">
      <c r="A272" t="s">
        <v>592</v>
      </c>
      <c r="B272" t="s">
        <v>593</v>
      </c>
      <c r="C272" t="s">
        <v>21</v>
      </c>
      <c r="D272">
        <v>41</v>
      </c>
      <c r="E272" t="s">
        <v>55</v>
      </c>
      <c r="F272" t="s">
        <v>48</v>
      </c>
      <c r="G272" t="s">
        <v>24</v>
      </c>
      <c r="H272" t="s">
        <v>25</v>
      </c>
      <c r="I272">
        <v>10</v>
      </c>
      <c r="J272">
        <v>48042</v>
      </c>
      <c r="K272" t="s">
        <v>35</v>
      </c>
      <c r="L272">
        <v>9</v>
      </c>
      <c r="M272">
        <v>120</v>
      </c>
      <c r="N272">
        <v>1</v>
      </c>
      <c r="O272" t="s">
        <v>28</v>
      </c>
      <c r="P272" t="s">
        <v>28</v>
      </c>
      <c r="Q272">
        <v>2</v>
      </c>
      <c r="R272" t="s">
        <v>27</v>
      </c>
      <c r="S272" t="s">
        <v>27</v>
      </c>
      <c r="T272" t="b">
        <f t="shared" si="40"/>
        <v>0</v>
      </c>
      <c r="U272" t="str">
        <f t="shared" si="41"/>
        <v>Employee_0271</v>
      </c>
      <c r="V272" t="str">
        <f t="shared" si="42"/>
        <v>Female</v>
      </c>
      <c r="W272" t="str">
        <f t="shared" si="43"/>
        <v>Customer Support</v>
      </c>
      <c r="X272" t="str">
        <f t="shared" si="44"/>
        <v>Hyderabad</v>
      </c>
      <c r="Y272" t="str">
        <f t="shared" si="45"/>
        <v>Valid</v>
      </c>
      <c r="Z272" t="str">
        <f t="shared" si="46"/>
        <v>Valid</v>
      </c>
      <c r="AA272" t="str">
        <f t="shared" si="47"/>
        <v>Valid</v>
      </c>
      <c r="AB272" s="9" t="str">
        <f t="shared" si="48"/>
        <v>Valid</v>
      </c>
      <c r="AC272" s="9" t="str">
        <f t="shared" si="49"/>
        <v>Valid</v>
      </c>
      <c r="AD272" s="9" t="str">
        <f>IF(AND(Y272="Valid",Z272="Valid",AA272="Valid",AB272="Valid",COUNTIF($A$2:A272,A272)=1),"Include","Exclude")</f>
        <v>Include</v>
      </c>
    </row>
    <row r="273" spans="1:30" x14ac:dyDescent="0.35">
      <c r="A273" t="s">
        <v>594</v>
      </c>
      <c r="B273" t="s">
        <v>595</v>
      </c>
      <c r="C273" t="s">
        <v>31</v>
      </c>
      <c r="D273">
        <v>51</v>
      </c>
      <c r="E273" t="s">
        <v>55</v>
      </c>
      <c r="F273" t="s">
        <v>60</v>
      </c>
      <c r="G273" t="s">
        <v>24</v>
      </c>
      <c r="H273" t="s">
        <v>25</v>
      </c>
      <c r="I273">
        <v>15</v>
      </c>
      <c r="J273">
        <v>70864</v>
      </c>
      <c r="K273" t="s">
        <v>45</v>
      </c>
      <c r="L273">
        <v>6</v>
      </c>
      <c r="M273">
        <v>28</v>
      </c>
      <c r="N273">
        <v>4</v>
      </c>
      <c r="O273" t="s">
        <v>27</v>
      </c>
      <c r="P273" t="s">
        <v>27</v>
      </c>
      <c r="Q273">
        <v>3</v>
      </c>
      <c r="R273" t="s">
        <v>27</v>
      </c>
      <c r="S273" t="s">
        <v>27</v>
      </c>
      <c r="T273" t="b">
        <f t="shared" si="40"/>
        <v>0</v>
      </c>
      <c r="U273" t="str">
        <f t="shared" si="41"/>
        <v>Employee_0272</v>
      </c>
      <c r="V273" t="str">
        <f t="shared" si="42"/>
        <v>Male</v>
      </c>
      <c r="W273" t="str">
        <f t="shared" si="43"/>
        <v>Hr</v>
      </c>
      <c r="X273" t="str">
        <f t="shared" si="44"/>
        <v>Hyderabad</v>
      </c>
      <c r="Y273" t="str">
        <f t="shared" si="45"/>
        <v>Valid</v>
      </c>
      <c r="Z273" t="str">
        <f t="shared" si="46"/>
        <v>Valid</v>
      </c>
      <c r="AA273" t="str">
        <f t="shared" si="47"/>
        <v>Valid</v>
      </c>
      <c r="AB273" s="9" t="str">
        <f t="shared" si="48"/>
        <v>Valid</v>
      </c>
      <c r="AC273" s="9" t="str">
        <f t="shared" si="49"/>
        <v>Valid</v>
      </c>
      <c r="AD273" s="9" t="str">
        <f>IF(AND(Y273="Valid",Z273="Valid",AA273="Valid",AB273="Valid",COUNTIF($A$2:A273,A273)=1),"Include","Exclude")</f>
        <v>Include</v>
      </c>
    </row>
    <row r="274" spans="1:30" x14ac:dyDescent="0.35">
      <c r="A274" t="s">
        <v>596</v>
      </c>
      <c r="B274" t="s">
        <v>597</v>
      </c>
      <c r="C274" t="s">
        <v>31</v>
      </c>
      <c r="D274">
        <v>35</v>
      </c>
      <c r="E274" t="s">
        <v>55</v>
      </c>
      <c r="F274" t="s">
        <v>39</v>
      </c>
      <c r="G274" t="s">
        <v>24</v>
      </c>
      <c r="H274" t="s">
        <v>52</v>
      </c>
      <c r="I274">
        <v>10</v>
      </c>
      <c r="J274">
        <v>51402</v>
      </c>
      <c r="K274" t="s">
        <v>26</v>
      </c>
      <c r="L274">
        <v>2</v>
      </c>
      <c r="M274">
        <v>20</v>
      </c>
      <c r="N274">
        <v>6</v>
      </c>
      <c r="O274" t="s">
        <v>27</v>
      </c>
      <c r="P274" t="s">
        <v>28</v>
      </c>
      <c r="Q274">
        <v>2</v>
      </c>
      <c r="R274" t="s">
        <v>27</v>
      </c>
      <c r="S274" t="s">
        <v>27</v>
      </c>
      <c r="T274" t="b">
        <f t="shared" si="40"/>
        <v>0</v>
      </c>
      <c r="U274" t="str">
        <f t="shared" si="41"/>
        <v>Employee_0273</v>
      </c>
      <c r="V274" t="str">
        <f t="shared" si="42"/>
        <v>Male</v>
      </c>
      <c r="W274" t="str">
        <f t="shared" si="43"/>
        <v>Operations</v>
      </c>
      <c r="X274" t="str">
        <f t="shared" si="44"/>
        <v>Mumbai</v>
      </c>
      <c r="Y274" t="str">
        <f t="shared" si="45"/>
        <v>Valid</v>
      </c>
      <c r="Z274" t="str">
        <f t="shared" si="46"/>
        <v>Valid</v>
      </c>
      <c r="AA274" t="str">
        <f t="shared" si="47"/>
        <v>Valid</v>
      </c>
      <c r="AB274" s="9" t="str">
        <f t="shared" si="48"/>
        <v>Valid</v>
      </c>
      <c r="AC274" s="9" t="str">
        <f t="shared" si="49"/>
        <v>Valid</v>
      </c>
      <c r="AD274" s="9" t="str">
        <f>IF(AND(Y274="Valid",Z274="Valid",AA274="Valid",AB274="Valid",COUNTIF($A$2:A274,A274)=1),"Include","Exclude")</f>
        <v>Include</v>
      </c>
    </row>
    <row r="275" spans="1:30" x14ac:dyDescent="0.35">
      <c r="A275" t="s">
        <v>598</v>
      </c>
      <c r="B275" t="s">
        <v>599</v>
      </c>
      <c r="C275" t="s">
        <v>21</v>
      </c>
      <c r="D275">
        <v>35</v>
      </c>
      <c r="E275" t="s">
        <v>55</v>
      </c>
      <c r="F275" t="s">
        <v>23</v>
      </c>
      <c r="G275" t="s">
        <v>24</v>
      </c>
      <c r="H275" t="s">
        <v>34</v>
      </c>
      <c r="I275">
        <v>8</v>
      </c>
      <c r="J275">
        <v>67458</v>
      </c>
      <c r="K275" t="s">
        <v>40</v>
      </c>
      <c r="L275">
        <v>8</v>
      </c>
      <c r="M275">
        <v>41</v>
      </c>
      <c r="N275">
        <v>3</v>
      </c>
      <c r="O275" t="s">
        <v>27</v>
      </c>
      <c r="P275" t="s">
        <v>28</v>
      </c>
      <c r="Q275">
        <v>2</v>
      </c>
      <c r="R275" t="s">
        <v>27</v>
      </c>
      <c r="S275" t="s">
        <v>27</v>
      </c>
      <c r="T275" t="b">
        <f t="shared" si="40"/>
        <v>0</v>
      </c>
      <c r="U275" t="str">
        <f t="shared" si="41"/>
        <v>Employee_0274</v>
      </c>
      <c r="V275" t="str">
        <f t="shared" si="42"/>
        <v>Female</v>
      </c>
      <c r="W275" t="str">
        <f t="shared" si="43"/>
        <v>Finance</v>
      </c>
      <c r="X275" t="str">
        <f t="shared" si="44"/>
        <v>Gurgaon</v>
      </c>
      <c r="Y275" t="str">
        <f t="shared" si="45"/>
        <v>Valid</v>
      </c>
      <c r="Z275" t="str">
        <f t="shared" si="46"/>
        <v>Valid</v>
      </c>
      <c r="AA275" t="str">
        <f t="shared" si="47"/>
        <v>Valid</v>
      </c>
      <c r="AB275" s="9" t="str">
        <f t="shared" si="48"/>
        <v>Valid</v>
      </c>
      <c r="AC275" s="9" t="str">
        <f t="shared" si="49"/>
        <v>Valid</v>
      </c>
      <c r="AD275" s="9" t="str">
        <f>IF(AND(Y275="Valid",Z275="Valid",AA275="Valid",AB275="Valid",COUNTIF($A$2:A275,A275)=1),"Include","Exclude")</f>
        <v>Include</v>
      </c>
    </row>
    <row r="276" spans="1:30" x14ac:dyDescent="0.35">
      <c r="A276" t="s">
        <v>600</v>
      </c>
      <c r="B276" t="s">
        <v>601</v>
      </c>
      <c r="C276" t="s">
        <v>31</v>
      </c>
      <c r="D276">
        <v>35</v>
      </c>
      <c r="E276" t="s">
        <v>55</v>
      </c>
      <c r="F276" t="s">
        <v>23</v>
      </c>
      <c r="G276" t="s">
        <v>24</v>
      </c>
      <c r="H276" t="s">
        <v>34</v>
      </c>
      <c r="I276">
        <v>9</v>
      </c>
      <c r="J276">
        <v>69299</v>
      </c>
      <c r="K276" t="s">
        <v>45</v>
      </c>
      <c r="L276">
        <v>6</v>
      </c>
      <c r="M276">
        <v>27</v>
      </c>
      <c r="N276">
        <v>5</v>
      </c>
      <c r="O276" t="s">
        <v>28</v>
      </c>
      <c r="P276" t="s">
        <v>28</v>
      </c>
      <c r="Q276">
        <v>1</v>
      </c>
      <c r="R276" t="s">
        <v>28</v>
      </c>
      <c r="S276" t="s">
        <v>27</v>
      </c>
      <c r="T276" t="b">
        <f t="shared" si="40"/>
        <v>0</v>
      </c>
      <c r="U276" t="str">
        <f t="shared" si="41"/>
        <v>Employee_0275</v>
      </c>
      <c r="V276" t="str">
        <f t="shared" si="42"/>
        <v>Male</v>
      </c>
      <c r="W276" t="str">
        <f t="shared" si="43"/>
        <v>Finance</v>
      </c>
      <c r="X276" t="str">
        <f t="shared" si="44"/>
        <v>Gurgaon</v>
      </c>
      <c r="Y276" t="str">
        <f t="shared" si="45"/>
        <v>Valid</v>
      </c>
      <c r="Z276" t="str">
        <f t="shared" si="46"/>
        <v>Valid</v>
      </c>
      <c r="AA276" t="str">
        <f t="shared" si="47"/>
        <v>Valid</v>
      </c>
      <c r="AB276" s="9" t="str">
        <f t="shared" si="48"/>
        <v>Valid</v>
      </c>
      <c r="AC276" s="9" t="str">
        <f t="shared" si="49"/>
        <v>Valid</v>
      </c>
      <c r="AD276" s="9" t="str">
        <f>IF(AND(Y276="Valid",Z276="Valid",AA276="Valid",AB276="Valid",COUNTIF($A$2:A276,A276)=1),"Include","Exclude")</f>
        <v>Include</v>
      </c>
    </row>
    <row r="277" spans="1:30" x14ac:dyDescent="0.35">
      <c r="A277" t="s">
        <v>602</v>
      </c>
      <c r="B277" t="s">
        <v>603</v>
      </c>
      <c r="C277" t="s">
        <v>31</v>
      </c>
      <c r="D277">
        <v>44</v>
      </c>
      <c r="E277" t="s">
        <v>38</v>
      </c>
      <c r="F277" t="s">
        <v>23</v>
      </c>
      <c r="G277" t="s">
        <v>24</v>
      </c>
      <c r="H277" t="s">
        <v>34</v>
      </c>
      <c r="I277">
        <v>17</v>
      </c>
      <c r="J277">
        <v>82000</v>
      </c>
      <c r="K277" t="s">
        <v>45</v>
      </c>
      <c r="L277">
        <v>3</v>
      </c>
      <c r="M277">
        <v>42</v>
      </c>
      <c r="N277">
        <v>1</v>
      </c>
      <c r="O277" t="s">
        <v>27</v>
      </c>
      <c r="P277" t="s">
        <v>28</v>
      </c>
      <c r="Q277">
        <v>2</v>
      </c>
      <c r="R277" t="s">
        <v>27</v>
      </c>
      <c r="S277" t="s">
        <v>27</v>
      </c>
      <c r="T277" t="b">
        <f t="shared" si="40"/>
        <v>0</v>
      </c>
      <c r="U277" t="str">
        <f t="shared" si="41"/>
        <v>Employee_0276</v>
      </c>
      <c r="V277" t="str">
        <f t="shared" si="42"/>
        <v>Male</v>
      </c>
      <c r="W277" t="str">
        <f t="shared" si="43"/>
        <v>Finance</v>
      </c>
      <c r="X277" t="str">
        <f t="shared" si="44"/>
        <v>Gurgaon</v>
      </c>
      <c r="Y277" t="str">
        <f t="shared" si="45"/>
        <v>Valid</v>
      </c>
      <c r="Z277" t="str">
        <f t="shared" si="46"/>
        <v>Valid</v>
      </c>
      <c r="AA277" t="str">
        <f t="shared" si="47"/>
        <v>Valid</v>
      </c>
      <c r="AB277" s="9" t="str">
        <f t="shared" si="48"/>
        <v>Valid</v>
      </c>
      <c r="AC277" s="9" t="str">
        <f t="shared" si="49"/>
        <v>Valid</v>
      </c>
      <c r="AD277" s="9" t="str">
        <f>IF(AND(Y277="Valid",Z277="Valid",AA277="Valid",AB277="Valid",COUNTIF($A$2:A277,A277)=1),"Include","Exclude")</f>
        <v>Include</v>
      </c>
    </row>
    <row r="278" spans="1:30" x14ac:dyDescent="0.35">
      <c r="A278" t="s">
        <v>604</v>
      </c>
      <c r="B278" t="s">
        <v>605</v>
      </c>
      <c r="C278" t="s">
        <v>31</v>
      </c>
      <c r="D278">
        <v>28</v>
      </c>
      <c r="E278" t="s">
        <v>32</v>
      </c>
      <c r="F278" t="s">
        <v>60</v>
      </c>
      <c r="G278" t="s">
        <v>24</v>
      </c>
      <c r="H278" t="s">
        <v>131</v>
      </c>
      <c r="I278">
        <v>2</v>
      </c>
      <c r="J278">
        <v>59817</v>
      </c>
      <c r="K278" t="s">
        <v>45</v>
      </c>
      <c r="L278">
        <v>2</v>
      </c>
      <c r="M278">
        <v>34</v>
      </c>
      <c r="N278">
        <v>8</v>
      </c>
      <c r="O278" t="s">
        <v>28</v>
      </c>
      <c r="P278" t="s">
        <v>27</v>
      </c>
      <c r="Q278">
        <v>4</v>
      </c>
      <c r="R278" t="s">
        <v>28</v>
      </c>
      <c r="S278" t="s">
        <v>27</v>
      </c>
      <c r="T278" t="b">
        <f t="shared" si="40"/>
        <v>0</v>
      </c>
      <c r="U278" t="str">
        <f t="shared" si="41"/>
        <v>Employee_0277</v>
      </c>
      <c r="V278" t="str">
        <f t="shared" si="42"/>
        <v>Male</v>
      </c>
      <c r="W278" t="str">
        <f t="shared" si="43"/>
        <v>Hr</v>
      </c>
      <c r="X278" t="str">
        <f t="shared" si="44"/>
        <v>Pune</v>
      </c>
      <c r="Y278" t="str">
        <f t="shared" si="45"/>
        <v>Valid</v>
      </c>
      <c r="Z278" t="str">
        <f t="shared" si="46"/>
        <v>Valid</v>
      </c>
      <c r="AA278" t="str">
        <f t="shared" si="47"/>
        <v>Valid</v>
      </c>
      <c r="AB278" s="9" t="str">
        <f t="shared" si="48"/>
        <v>Valid</v>
      </c>
      <c r="AC278" s="9" t="str">
        <f t="shared" si="49"/>
        <v>Valid</v>
      </c>
      <c r="AD278" s="9" t="str">
        <f>IF(AND(Y278="Valid",Z278="Valid",AA278="Valid",AB278="Valid",COUNTIF($A$2:A278,A278)=1),"Include","Exclude")</f>
        <v>Include</v>
      </c>
    </row>
    <row r="279" spans="1:30" x14ac:dyDescent="0.35">
      <c r="A279" t="s">
        <v>606</v>
      </c>
      <c r="B279" t="s">
        <v>607</v>
      </c>
      <c r="C279" t="s">
        <v>21</v>
      </c>
      <c r="D279">
        <v>40</v>
      </c>
      <c r="E279" t="s">
        <v>55</v>
      </c>
      <c r="F279" t="s">
        <v>39</v>
      </c>
      <c r="G279" t="s">
        <v>24</v>
      </c>
      <c r="H279" t="s">
        <v>131</v>
      </c>
      <c r="I279">
        <v>9</v>
      </c>
      <c r="J279">
        <v>53045</v>
      </c>
      <c r="K279" t="s">
        <v>45</v>
      </c>
      <c r="L279">
        <v>3</v>
      </c>
      <c r="M279">
        <v>18</v>
      </c>
      <c r="N279">
        <v>1</v>
      </c>
      <c r="O279" t="s">
        <v>27</v>
      </c>
      <c r="P279" t="s">
        <v>28</v>
      </c>
      <c r="Q279">
        <v>2</v>
      </c>
      <c r="R279" t="s">
        <v>27</v>
      </c>
      <c r="S279" t="s">
        <v>27</v>
      </c>
      <c r="T279" t="b">
        <f t="shared" si="40"/>
        <v>0</v>
      </c>
      <c r="U279" t="str">
        <f t="shared" si="41"/>
        <v>Employee_0278</v>
      </c>
      <c r="V279" t="str">
        <f t="shared" si="42"/>
        <v>Female</v>
      </c>
      <c r="W279" t="str">
        <f t="shared" si="43"/>
        <v>Operations</v>
      </c>
      <c r="X279" t="str">
        <f t="shared" si="44"/>
        <v>Pune</v>
      </c>
      <c r="Y279" t="str">
        <f t="shared" si="45"/>
        <v>Valid</v>
      </c>
      <c r="Z279" t="str">
        <f t="shared" si="46"/>
        <v>Valid</v>
      </c>
      <c r="AA279" t="str">
        <f t="shared" si="47"/>
        <v>Valid</v>
      </c>
      <c r="AB279" s="9" t="str">
        <f t="shared" si="48"/>
        <v>Valid</v>
      </c>
      <c r="AC279" s="9" t="str">
        <f t="shared" si="49"/>
        <v>Valid</v>
      </c>
      <c r="AD279" s="9" t="str">
        <f>IF(AND(Y279="Valid",Z279="Valid",AA279="Valid",AB279="Valid",COUNTIF($A$2:A279,A279)=1),"Include","Exclude")</f>
        <v>Include</v>
      </c>
    </row>
    <row r="280" spans="1:30" x14ac:dyDescent="0.35">
      <c r="A280" t="s">
        <v>608</v>
      </c>
      <c r="B280" t="s">
        <v>609</v>
      </c>
      <c r="C280" t="s">
        <v>31</v>
      </c>
      <c r="D280">
        <v>29</v>
      </c>
      <c r="E280" t="s">
        <v>38</v>
      </c>
      <c r="F280" t="s">
        <v>33</v>
      </c>
      <c r="G280" t="s">
        <v>24</v>
      </c>
      <c r="H280" t="s">
        <v>25</v>
      </c>
      <c r="I280">
        <v>4</v>
      </c>
      <c r="J280">
        <v>54439</v>
      </c>
      <c r="K280" t="s">
        <v>35</v>
      </c>
      <c r="L280">
        <v>10</v>
      </c>
      <c r="M280">
        <v>23</v>
      </c>
      <c r="N280">
        <v>3</v>
      </c>
      <c r="O280" t="s">
        <v>27</v>
      </c>
      <c r="P280" t="s">
        <v>27</v>
      </c>
      <c r="Q280">
        <v>2</v>
      </c>
      <c r="R280" t="s">
        <v>27</v>
      </c>
      <c r="S280" t="s">
        <v>27</v>
      </c>
      <c r="T280" t="b">
        <f t="shared" si="40"/>
        <v>0</v>
      </c>
      <c r="U280" t="str">
        <f t="shared" si="41"/>
        <v>Employee_0279</v>
      </c>
      <c r="V280" t="str">
        <f t="shared" si="42"/>
        <v>Male</v>
      </c>
      <c r="W280" t="str">
        <f t="shared" si="43"/>
        <v>Sales</v>
      </c>
      <c r="X280" t="str">
        <f t="shared" si="44"/>
        <v>Hyderabad</v>
      </c>
      <c r="Y280" t="str">
        <f t="shared" si="45"/>
        <v>Valid</v>
      </c>
      <c r="Z280" t="str">
        <f t="shared" si="46"/>
        <v>Valid</v>
      </c>
      <c r="AA280" t="str">
        <f t="shared" si="47"/>
        <v>Valid</v>
      </c>
      <c r="AB280" s="9" t="str">
        <f t="shared" si="48"/>
        <v>Valid</v>
      </c>
      <c r="AC280" s="9" t="str">
        <f t="shared" si="49"/>
        <v>Valid</v>
      </c>
      <c r="AD280" s="9" t="str">
        <f>IF(AND(Y280="Valid",Z280="Valid",AA280="Valid",AB280="Valid",COUNTIF($A$2:A280,A280)=1),"Include","Exclude")</f>
        <v>Include</v>
      </c>
    </row>
    <row r="281" spans="1:30" x14ac:dyDescent="0.35">
      <c r="A281" t="s">
        <v>610</v>
      </c>
      <c r="B281" t="s">
        <v>611</v>
      </c>
      <c r="C281" t="s">
        <v>21</v>
      </c>
      <c r="D281">
        <v>53</v>
      </c>
      <c r="E281" t="s">
        <v>22</v>
      </c>
      <c r="F281" t="s">
        <v>39</v>
      </c>
      <c r="G281" t="s">
        <v>24</v>
      </c>
      <c r="H281" t="s">
        <v>52</v>
      </c>
      <c r="I281">
        <v>19</v>
      </c>
      <c r="J281">
        <v>60624</v>
      </c>
      <c r="K281" t="s">
        <v>40</v>
      </c>
      <c r="L281">
        <v>10</v>
      </c>
      <c r="M281">
        <v>0</v>
      </c>
      <c r="N281">
        <v>4</v>
      </c>
      <c r="O281" t="s">
        <v>28</v>
      </c>
      <c r="P281" t="s">
        <v>28</v>
      </c>
      <c r="Q281">
        <v>3</v>
      </c>
      <c r="R281" t="s">
        <v>27</v>
      </c>
      <c r="S281" t="s">
        <v>27</v>
      </c>
      <c r="T281" t="b">
        <f t="shared" si="40"/>
        <v>0</v>
      </c>
      <c r="U281" t="str">
        <f t="shared" si="41"/>
        <v>Employee_0280</v>
      </c>
      <c r="V281" t="str">
        <f t="shared" si="42"/>
        <v>Female</v>
      </c>
      <c r="W281" t="str">
        <f t="shared" si="43"/>
        <v>Operations</v>
      </c>
      <c r="X281" t="str">
        <f t="shared" si="44"/>
        <v>Mumbai</v>
      </c>
      <c r="Y281" t="str">
        <f t="shared" si="45"/>
        <v>Valid</v>
      </c>
      <c r="Z281" t="str">
        <f t="shared" si="46"/>
        <v>Valid</v>
      </c>
      <c r="AA281" t="str">
        <f t="shared" si="47"/>
        <v>Valid</v>
      </c>
      <c r="AB281" s="9" t="str">
        <f t="shared" si="48"/>
        <v>Valid</v>
      </c>
      <c r="AC281" s="9" t="str">
        <f t="shared" si="49"/>
        <v>Valid</v>
      </c>
      <c r="AD281" s="9" t="str">
        <f>IF(AND(Y281="Valid",Z281="Valid",AA281="Valid",AB281="Valid",COUNTIF($A$2:A281,A281)=1),"Include","Exclude")</f>
        <v>Include</v>
      </c>
    </row>
    <row r="282" spans="1:30" x14ac:dyDescent="0.35">
      <c r="A282" t="s">
        <v>612</v>
      </c>
      <c r="B282" t="s">
        <v>613</v>
      </c>
      <c r="C282" t="s">
        <v>31</v>
      </c>
      <c r="D282">
        <v>49</v>
      </c>
      <c r="E282" t="s">
        <v>55</v>
      </c>
      <c r="F282" t="s">
        <v>43</v>
      </c>
      <c r="G282" t="s">
        <v>24</v>
      </c>
      <c r="H282" t="s">
        <v>61</v>
      </c>
      <c r="I282">
        <v>11</v>
      </c>
      <c r="J282">
        <v>78382</v>
      </c>
      <c r="K282" t="s">
        <v>45</v>
      </c>
      <c r="L282">
        <v>10</v>
      </c>
      <c r="M282">
        <v>22</v>
      </c>
      <c r="N282">
        <v>3</v>
      </c>
      <c r="O282" t="s">
        <v>27</v>
      </c>
      <c r="P282" t="s">
        <v>28</v>
      </c>
      <c r="Q282">
        <v>3</v>
      </c>
      <c r="R282" t="s">
        <v>27</v>
      </c>
      <c r="S282" t="s">
        <v>27</v>
      </c>
      <c r="T282" t="b">
        <f t="shared" si="40"/>
        <v>0</v>
      </c>
      <c r="U282" t="str">
        <f t="shared" si="41"/>
        <v>Employee_0281</v>
      </c>
      <c r="V282" t="str">
        <f t="shared" si="42"/>
        <v>Male</v>
      </c>
      <c r="W282" t="str">
        <f t="shared" si="43"/>
        <v>It</v>
      </c>
      <c r="X282" t="str">
        <f t="shared" si="44"/>
        <v>Noida</v>
      </c>
      <c r="Y282" t="str">
        <f t="shared" si="45"/>
        <v>Valid</v>
      </c>
      <c r="Z282" t="str">
        <f t="shared" si="46"/>
        <v>Valid</v>
      </c>
      <c r="AA282" t="str">
        <f t="shared" si="47"/>
        <v>Valid</v>
      </c>
      <c r="AB282" s="9" t="str">
        <f t="shared" si="48"/>
        <v>Valid</v>
      </c>
      <c r="AC282" s="9" t="str">
        <f t="shared" si="49"/>
        <v>Valid</v>
      </c>
      <c r="AD282" s="9" t="str">
        <f>IF(AND(Y282="Valid",Z282="Valid",AA282="Valid",AB282="Valid",COUNTIF($A$2:A282,A282)=1),"Include","Exclude")</f>
        <v>Include</v>
      </c>
    </row>
    <row r="283" spans="1:30" x14ac:dyDescent="0.35">
      <c r="A283" t="s">
        <v>614</v>
      </c>
      <c r="B283" t="s">
        <v>615</v>
      </c>
      <c r="C283" t="s">
        <v>21</v>
      </c>
      <c r="D283">
        <v>49</v>
      </c>
      <c r="E283" t="s">
        <v>55</v>
      </c>
      <c r="F283" t="s">
        <v>33</v>
      </c>
      <c r="G283" t="s">
        <v>24</v>
      </c>
      <c r="H283" t="s">
        <v>131</v>
      </c>
      <c r="I283">
        <v>10</v>
      </c>
      <c r="J283">
        <v>65058</v>
      </c>
      <c r="K283" t="s">
        <v>40</v>
      </c>
      <c r="L283">
        <v>10</v>
      </c>
      <c r="M283">
        <v>15</v>
      </c>
      <c r="N283">
        <v>6</v>
      </c>
      <c r="O283" t="s">
        <v>27</v>
      </c>
      <c r="P283" t="s">
        <v>28</v>
      </c>
      <c r="Q283">
        <v>1</v>
      </c>
      <c r="R283" t="s">
        <v>27</v>
      </c>
      <c r="S283" t="s">
        <v>27</v>
      </c>
      <c r="T283" t="b">
        <f t="shared" si="40"/>
        <v>0</v>
      </c>
      <c r="U283" t="str">
        <f t="shared" si="41"/>
        <v>Employee_0282</v>
      </c>
      <c r="V283" t="str">
        <f t="shared" si="42"/>
        <v>Female</v>
      </c>
      <c r="W283" t="str">
        <f t="shared" si="43"/>
        <v>Sales</v>
      </c>
      <c r="X283" t="str">
        <f t="shared" si="44"/>
        <v>Pune</v>
      </c>
      <c r="Y283" t="str">
        <f t="shared" si="45"/>
        <v>Valid</v>
      </c>
      <c r="Z283" t="str">
        <f t="shared" si="46"/>
        <v>Valid</v>
      </c>
      <c r="AA283" t="str">
        <f t="shared" si="47"/>
        <v>Valid</v>
      </c>
      <c r="AB283" s="9" t="str">
        <f t="shared" si="48"/>
        <v>Valid</v>
      </c>
      <c r="AC283" s="9" t="str">
        <f t="shared" si="49"/>
        <v>Valid</v>
      </c>
      <c r="AD283" s="9" t="str">
        <f>IF(AND(Y283="Valid",Z283="Valid",AA283="Valid",AB283="Valid",COUNTIF($A$2:A283,A283)=1),"Include","Exclude")</f>
        <v>Include</v>
      </c>
    </row>
    <row r="284" spans="1:30" x14ac:dyDescent="0.35">
      <c r="A284" t="s">
        <v>616</v>
      </c>
      <c r="B284" t="s">
        <v>617</v>
      </c>
      <c r="C284" t="s">
        <v>21</v>
      </c>
      <c r="D284">
        <v>47</v>
      </c>
      <c r="E284" t="s">
        <v>38</v>
      </c>
      <c r="F284" t="s">
        <v>64</v>
      </c>
      <c r="G284" t="s">
        <v>24</v>
      </c>
      <c r="H284" t="s">
        <v>70</v>
      </c>
      <c r="I284">
        <v>18</v>
      </c>
      <c r="J284">
        <v>76182</v>
      </c>
      <c r="K284" t="s">
        <v>40</v>
      </c>
      <c r="L284">
        <v>6</v>
      </c>
      <c r="M284">
        <v>18</v>
      </c>
      <c r="N284">
        <v>8</v>
      </c>
      <c r="O284" t="s">
        <v>28</v>
      </c>
      <c r="P284" t="s">
        <v>28</v>
      </c>
      <c r="Q284">
        <v>4</v>
      </c>
      <c r="R284" t="s">
        <v>28</v>
      </c>
      <c r="S284" t="s">
        <v>28</v>
      </c>
      <c r="T284" t="b">
        <f t="shared" si="40"/>
        <v>0</v>
      </c>
      <c r="U284" t="str">
        <f t="shared" si="41"/>
        <v>Employee_0283</v>
      </c>
      <c r="V284" t="str">
        <f t="shared" si="42"/>
        <v>Female</v>
      </c>
      <c r="W284" t="str">
        <f t="shared" si="43"/>
        <v>Marketing</v>
      </c>
      <c r="X284" t="str">
        <f t="shared" si="44"/>
        <v>Bangalore</v>
      </c>
      <c r="Y284" t="str">
        <f t="shared" si="45"/>
        <v>Valid</v>
      </c>
      <c r="Z284" t="str">
        <f t="shared" si="46"/>
        <v>Valid</v>
      </c>
      <c r="AA284" t="str">
        <f t="shared" si="47"/>
        <v>Valid</v>
      </c>
      <c r="AB284" s="9" t="str">
        <f t="shared" si="48"/>
        <v>Valid</v>
      </c>
      <c r="AC284" s="9" t="str">
        <f t="shared" si="49"/>
        <v>Valid</v>
      </c>
      <c r="AD284" s="9" t="str">
        <f>IF(AND(Y284="Valid",Z284="Valid",AA284="Valid",AB284="Valid",COUNTIF($A$2:A284,A284)=1),"Include","Exclude")</f>
        <v>Include</v>
      </c>
    </row>
    <row r="285" spans="1:30" x14ac:dyDescent="0.35">
      <c r="A285" t="s">
        <v>618</v>
      </c>
      <c r="B285" t="s">
        <v>619</v>
      </c>
      <c r="C285" t="s">
        <v>21</v>
      </c>
      <c r="D285">
        <v>26</v>
      </c>
      <c r="E285" t="s">
        <v>22</v>
      </c>
      <c r="F285" t="s">
        <v>48</v>
      </c>
      <c r="G285" t="s">
        <v>24</v>
      </c>
      <c r="H285" t="s">
        <v>34</v>
      </c>
      <c r="I285">
        <v>2</v>
      </c>
      <c r="J285">
        <v>45641</v>
      </c>
      <c r="K285" t="s">
        <v>45</v>
      </c>
      <c r="L285">
        <v>8</v>
      </c>
      <c r="M285">
        <v>32</v>
      </c>
      <c r="N285">
        <v>4</v>
      </c>
      <c r="O285" t="s">
        <v>28</v>
      </c>
      <c r="P285" t="s">
        <v>28</v>
      </c>
      <c r="Q285">
        <v>4</v>
      </c>
      <c r="R285" t="s">
        <v>27</v>
      </c>
      <c r="S285" t="s">
        <v>27</v>
      </c>
      <c r="T285" t="b">
        <f t="shared" si="40"/>
        <v>0</v>
      </c>
      <c r="U285" t="str">
        <f t="shared" si="41"/>
        <v>Employee_0284</v>
      </c>
      <c r="V285" t="str">
        <f t="shared" si="42"/>
        <v>Female</v>
      </c>
      <c r="W285" t="str">
        <f t="shared" si="43"/>
        <v>Customer Support</v>
      </c>
      <c r="X285" t="str">
        <f t="shared" si="44"/>
        <v>Gurgaon</v>
      </c>
      <c r="Y285" t="str">
        <f t="shared" si="45"/>
        <v>Valid</v>
      </c>
      <c r="Z285" t="str">
        <f t="shared" si="46"/>
        <v>Valid</v>
      </c>
      <c r="AA285" t="str">
        <f t="shared" si="47"/>
        <v>Valid</v>
      </c>
      <c r="AB285" s="9" t="str">
        <f t="shared" si="48"/>
        <v>Valid</v>
      </c>
      <c r="AC285" s="9" t="str">
        <f t="shared" si="49"/>
        <v>Valid</v>
      </c>
      <c r="AD285" s="9" t="str">
        <f>IF(AND(Y285="Valid",Z285="Valid",AA285="Valid",AB285="Valid",COUNTIF($A$2:A285,A285)=1),"Include","Exclude")</f>
        <v>Include</v>
      </c>
    </row>
    <row r="286" spans="1:30" x14ac:dyDescent="0.35">
      <c r="A286" t="s">
        <v>620</v>
      </c>
      <c r="B286" t="s">
        <v>621</v>
      </c>
      <c r="C286" t="s">
        <v>21</v>
      </c>
      <c r="D286">
        <v>45</v>
      </c>
      <c r="E286" t="s">
        <v>55</v>
      </c>
      <c r="F286" t="s">
        <v>39</v>
      </c>
      <c r="G286" t="s">
        <v>24</v>
      </c>
      <c r="H286" t="s">
        <v>131</v>
      </c>
      <c r="I286">
        <v>12</v>
      </c>
      <c r="J286">
        <v>61807</v>
      </c>
      <c r="K286" t="s">
        <v>45</v>
      </c>
      <c r="L286">
        <v>7</v>
      </c>
      <c r="M286">
        <v>25</v>
      </c>
      <c r="N286">
        <v>2</v>
      </c>
      <c r="O286" t="s">
        <v>27</v>
      </c>
      <c r="P286" t="s">
        <v>27</v>
      </c>
      <c r="Q286">
        <v>1</v>
      </c>
      <c r="R286" t="s">
        <v>27</v>
      </c>
      <c r="S286" t="s">
        <v>27</v>
      </c>
      <c r="T286" t="b">
        <f t="shared" si="40"/>
        <v>0</v>
      </c>
      <c r="U286" t="str">
        <f t="shared" si="41"/>
        <v>Employee_0285</v>
      </c>
      <c r="V286" t="str">
        <f t="shared" si="42"/>
        <v>Female</v>
      </c>
      <c r="W286" t="str">
        <f t="shared" si="43"/>
        <v>Operations</v>
      </c>
      <c r="X286" t="str">
        <f t="shared" si="44"/>
        <v>Pune</v>
      </c>
      <c r="Y286" t="str">
        <f t="shared" si="45"/>
        <v>Valid</v>
      </c>
      <c r="Z286" t="str">
        <f t="shared" si="46"/>
        <v>Valid</v>
      </c>
      <c r="AA286" t="str">
        <f t="shared" si="47"/>
        <v>Valid</v>
      </c>
      <c r="AB286" s="9" t="str">
        <f t="shared" si="48"/>
        <v>Valid</v>
      </c>
      <c r="AC286" s="9" t="str">
        <f t="shared" si="49"/>
        <v>Valid</v>
      </c>
      <c r="AD286" s="9" t="str">
        <f>IF(AND(Y286="Valid",Z286="Valid",AA286="Valid",AB286="Valid",COUNTIF($A$2:A286,A286)=1),"Include","Exclude")</f>
        <v>Include</v>
      </c>
    </row>
    <row r="287" spans="1:30" x14ac:dyDescent="0.35">
      <c r="A287" t="s">
        <v>622</v>
      </c>
      <c r="B287" t="s">
        <v>623</v>
      </c>
      <c r="C287" t="s">
        <v>31</v>
      </c>
      <c r="D287">
        <v>30</v>
      </c>
      <c r="E287" t="s">
        <v>55</v>
      </c>
      <c r="F287" t="s">
        <v>60</v>
      </c>
      <c r="G287" t="s">
        <v>24</v>
      </c>
      <c r="H287" t="s">
        <v>49</v>
      </c>
      <c r="I287">
        <v>4</v>
      </c>
      <c r="J287">
        <v>53648</v>
      </c>
      <c r="K287" t="s">
        <v>45</v>
      </c>
      <c r="L287">
        <v>1</v>
      </c>
      <c r="M287">
        <v>24</v>
      </c>
      <c r="N287">
        <v>6</v>
      </c>
      <c r="O287" t="s">
        <v>28</v>
      </c>
      <c r="P287" t="s">
        <v>28</v>
      </c>
      <c r="Q287">
        <v>1</v>
      </c>
      <c r="R287" t="s">
        <v>27</v>
      </c>
      <c r="S287" t="s">
        <v>28</v>
      </c>
      <c r="T287" t="b">
        <f t="shared" si="40"/>
        <v>0</v>
      </c>
      <c r="U287" t="str">
        <f t="shared" si="41"/>
        <v>Employee_0286</v>
      </c>
      <c r="V287" t="str">
        <f t="shared" si="42"/>
        <v>Male</v>
      </c>
      <c r="W287" t="str">
        <f t="shared" si="43"/>
        <v>Hr</v>
      </c>
      <c r="X287" t="str">
        <f t="shared" si="44"/>
        <v>Delhi</v>
      </c>
      <c r="Y287" t="str">
        <f t="shared" si="45"/>
        <v>Valid</v>
      </c>
      <c r="Z287" t="str">
        <f t="shared" si="46"/>
        <v>Valid</v>
      </c>
      <c r="AA287" t="str">
        <f t="shared" si="47"/>
        <v>Valid</v>
      </c>
      <c r="AB287" s="9" t="str">
        <f t="shared" si="48"/>
        <v>Valid</v>
      </c>
      <c r="AC287" s="9" t="str">
        <f t="shared" si="49"/>
        <v>Valid</v>
      </c>
      <c r="AD287" s="9" t="str">
        <f>IF(AND(Y287="Valid",Z287="Valid",AA287="Valid",AB287="Valid",COUNTIF($A$2:A287,A287)=1),"Include","Exclude")</f>
        <v>Include</v>
      </c>
    </row>
    <row r="288" spans="1:30" x14ac:dyDescent="0.35">
      <c r="A288" t="s">
        <v>624</v>
      </c>
      <c r="B288" t="s">
        <v>625</v>
      </c>
      <c r="C288" t="s">
        <v>21</v>
      </c>
      <c r="D288">
        <v>45</v>
      </c>
      <c r="E288" t="s">
        <v>38</v>
      </c>
      <c r="F288" t="s">
        <v>64</v>
      </c>
      <c r="G288" t="s">
        <v>24</v>
      </c>
      <c r="H288" t="s">
        <v>52</v>
      </c>
      <c r="I288">
        <v>14</v>
      </c>
      <c r="J288">
        <v>66884</v>
      </c>
      <c r="K288" t="s">
        <v>45</v>
      </c>
      <c r="L288">
        <v>8</v>
      </c>
      <c r="M288">
        <v>5</v>
      </c>
      <c r="N288">
        <v>5</v>
      </c>
      <c r="O288" t="s">
        <v>28</v>
      </c>
      <c r="P288" t="s">
        <v>28</v>
      </c>
      <c r="Q288">
        <v>5</v>
      </c>
      <c r="R288" t="s">
        <v>27</v>
      </c>
      <c r="S288" t="s">
        <v>27</v>
      </c>
      <c r="T288" t="b">
        <f t="shared" si="40"/>
        <v>0</v>
      </c>
      <c r="U288" t="str">
        <f t="shared" si="41"/>
        <v>Employee_0287</v>
      </c>
      <c r="V288" t="str">
        <f t="shared" si="42"/>
        <v>Female</v>
      </c>
      <c r="W288" t="str">
        <f t="shared" si="43"/>
        <v>Marketing</v>
      </c>
      <c r="X288" t="str">
        <f t="shared" si="44"/>
        <v>Mumbai</v>
      </c>
      <c r="Y288" t="str">
        <f t="shared" si="45"/>
        <v>Valid</v>
      </c>
      <c r="Z288" t="str">
        <f t="shared" si="46"/>
        <v>Valid</v>
      </c>
      <c r="AA288" t="str">
        <f t="shared" si="47"/>
        <v>Valid</v>
      </c>
      <c r="AB288" s="9" t="str">
        <f t="shared" si="48"/>
        <v>Valid</v>
      </c>
      <c r="AC288" s="9" t="str">
        <f t="shared" si="49"/>
        <v>Valid</v>
      </c>
      <c r="AD288" s="9" t="str">
        <f>IF(AND(Y288="Valid",Z288="Valid",AA288="Valid",AB288="Valid",COUNTIF($A$2:A288,A288)=1),"Include","Exclude")</f>
        <v>Include</v>
      </c>
    </row>
    <row r="289" spans="1:30" x14ac:dyDescent="0.35">
      <c r="A289" t="s">
        <v>626</v>
      </c>
      <c r="B289" t="s">
        <v>627</v>
      </c>
      <c r="C289" t="s">
        <v>21</v>
      </c>
      <c r="D289">
        <v>35</v>
      </c>
      <c r="E289" t="s">
        <v>22</v>
      </c>
      <c r="F289" t="s">
        <v>64</v>
      </c>
      <c r="G289" t="s">
        <v>24</v>
      </c>
      <c r="H289" t="s">
        <v>34</v>
      </c>
      <c r="I289">
        <v>8</v>
      </c>
      <c r="J289">
        <v>64576</v>
      </c>
      <c r="K289" t="s">
        <v>45</v>
      </c>
      <c r="L289">
        <v>4</v>
      </c>
      <c r="M289">
        <v>18</v>
      </c>
      <c r="N289">
        <v>6</v>
      </c>
      <c r="O289" t="s">
        <v>27</v>
      </c>
      <c r="P289" t="s">
        <v>27</v>
      </c>
      <c r="Q289">
        <v>5</v>
      </c>
      <c r="R289" t="s">
        <v>27</v>
      </c>
      <c r="S289" t="s">
        <v>27</v>
      </c>
      <c r="T289" t="b">
        <f t="shared" si="40"/>
        <v>0</v>
      </c>
      <c r="U289" t="str">
        <f t="shared" si="41"/>
        <v>Employee_0288</v>
      </c>
      <c r="V289" t="str">
        <f t="shared" si="42"/>
        <v>Female</v>
      </c>
      <c r="W289" t="str">
        <f t="shared" si="43"/>
        <v>Marketing</v>
      </c>
      <c r="X289" t="str">
        <f t="shared" si="44"/>
        <v>Gurgaon</v>
      </c>
      <c r="Y289" t="str">
        <f t="shared" si="45"/>
        <v>Valid</v>
      </c>
      <c r="Z289" t="str">
        <f t="shared" si="46"/>
        <v>Valid</v>
      </c>
      <c r="AA289" t="str">
        <f t="shared" si="47"/>
        <v>Valid</v>
      </c>
      <c r="AB289" s="9" t="str">
        <f t="shared" si="48"/>
        <v>Valid</v>
      </c>
      <c r="AC289" s="9" t="str">
        <f t="shared" si="49"/>
        <v>Valid</v>
      </c>
      <c r="AD289" s="9" t="str">
        <f>IF(AND(Y289="Valid",Z289="Valid",AA289="Valid",AB289="Valid",COUNTIF($A$2:A289,A289)=1),"Include","Exclude")</f>
        <v>Include</v>
      </c>
    </row>
    <row r="290" spans="1:30" x14ac:dyDescent="0.35">
      <c r="A290" t="s">
        <v>628</v>
      </c>
      <c r="B290" t="s">
        <v>629</v>
      </c>
      <c r="C290" t="s">
        <v>31</v>
      </c>
      <c r="D290">
        <v>35</v>
      </c>
      <c r="E290" t="s">
        <v>55</v>
      </c>
      <c r="F290" t="s">
        <v>23</v>
      </c>
      <c r="G290" t="s">
        <v>24</v>
      </c>
      <c r="H290" t="s">
        <v>49</v>
      </c>
      <c r="I290">
        <v>11</v>
      </c>
      <c r="J290">
        <v>62367</v>
      </c>
      <c r="K290" t="s">
        <v>26</v>
      </c>
      <c r="L290">
        <v>10</v>
      </c>
      <c r="M290">
        <v>51</v>
      </c>
      <c r="N290">
        <v>3</v>
      </c>
      <c r="O290" t="s">
        <v>27</v>
      </c>
      <c r="P290" t="s">
        <v>28</v>
      </c>
      <c r="Q290">
        <v>1</v>
      </c>
      <c r="R290" t="s">
        <v>27</v>
      </c>
      <c r="S290" t="s">
        <v>27</v>
      </c>
      <c r="T290" t="b">
        <f t="shared" si="40"/>
        <v>0</v>
      </c>
      <c r="U290" t="str">
        <f t="shared" si="41"/>
        <v>Employee_0289</v>
      </c>
      <c r="V290" t="str">
        <f t="shared" si="42"/>
        <v>Male</v>
      </c>
      <c r="W290" t="str">
        <f t="shared" si="43"/>
        <v>Finance</v>
      </c>
      <c r="X290" t="str">
        <f t="shared" si="44"/>
        <v>Delhi</v>
      </c>
      <c r="Y290" t="str">
        <f t="shared" si="45"/>
        <v>Valid</v>
      </c>
      <c r="Z290" t="str">
        <f t="shared" si="46"/>
        <v>Valid</v>
      </c>
      <c r="AA290" t="str">
        <f t="shared" si="47"/>
        <v>Valid</v>
      </c>
      <c r="AB290" s="9" t="str">
        <f t="shared" si="48"/>
        <v>Valid</v>
      </c>
      <c r="AC290" s="9" t="str">
        <f t="shared" si="49"/>
        <v>Valid</v>
      </c>
      <c r="AD290" s="9" t="str">
        <f>IF(AND(Y290="Valid",Z290="Valid",AA290="Valid",AB290="Valid",COUNTIF($A$2:A290,A290)=1),"Include","Exclude")</f>
        <v>Include</v>
      </c>
    </row>
    <row r="291" spans="1:30" x14ac:dyDescent="0.35">
      <c r="A291" t="s">
        <v>630</v>
      </c>
      <c r="B291" t="s">
        <v>631</v>
      </c>
      <c r="C291" t="s">
        <v>21</v>
      </c>
      <c r="D291">
        <v>35</v>
      </c>
      <c r="E291" t="s">
        <v>55</v>
      </c>
      <c r="F291" t="s">
        <v>23</v>
      </c>
      <c r="G291" t="s">
        <v>24</v>
      </c>
      <c r="H291" t="s">
        <v>70</v>
      </c>
      <c r="I291">
        <v>10</v>
      </c>
      <c r="J291">
        <v>73666</v>
      </c>
      <c r="K291" t="s">
        <v>45</v>
      </c>
      <c r="L291">
        <v>1</v>
      </c>
      <c r="M291">
        <v>10</v>
      </c>
      <c r="N291">
        <v>1</v>
      </c>
      <c r="O291" t="s">
        <v>28</v>
      </c>
      <c r="P291" t="s">
        <v>28</v>
      </c>
      <c r="Q291">
        <v>3</v>
      </c>
      <c r="R291" t="s">
        <v>28</v>
      </c>
      <c r="S291" t="s">
        <v>28</v>
      </c>
      <c r="T291" t="b">
        <f t="shared" si="40"/>
        <v>0</v>
      </c>
      <c r="U291" t="str">
        <f t="shared" si="41"/>
        <v>Employee_0290</v>
      </c>
      <c r="V291" t="str">
        <f t="shared" si="42"/>
        <v>Female</v>
      </c>
      <c r="W291" t="str">
        <f t="shared" si="43"/>
        <v>Finance</v>
      </c>
      <c r="X291" t="str">
        <f t="shared" si="44"/>
        <v>Bangalore</v>
      </c>
      <c r="Y291" t="str">
        <f t="shared" si="45"/>
        <v>Valid</v>
      </c>
      <c r="Z291" t="str">
        <f t="shared" si="46"/>
        <v>Valid</v>
      </c>
      <c r="AA291" t="str">
        <f t="shared" si="47"/>
        <v>Valid</v>
      </c>
      <c r="AB291" s="9" t="str">
        <f t="shared" si="48"/>
        <v>Valid</v>
      </c>
      <c r="AC291" s="9" t="str">
        <f t="shared" si="49"/>
        <v>Valid</v>
      </c>
      <c r="AD291" s="9" t="str">
        <f>IF(AND(Y291="Valid",Z291="Valid",AA291="Valid",AB291="Valid",COUNTIF($A$2:A291,A291)=1),"Include","Exclude")</f>
        <v>Include</v>
      </c>
    </row>
    <row r="292" spans="1:30" x14ac:dyDescent="0.35">
      <c r="A292" t="s">
        <v>632</v>
      </c>
      <c r="B292" t="s">
        <v>633</v>
      </c>
      <c r="C292" t="s">
        <v>31</v>
      </c>
      <c r="D292">
        <v>30</v>
      </c>
      <c r="E292" t="s">
        <v>38</v>
      </c>
      <c r="F292" t="s">
        <v>48</v>
      </c>
      <c r="G292" t="s">
        <v>69</v>
      </c>
      <c r="H292" t="s">
        <v>52</v>
      </c>
      <c r="I292">
        <v>6</v>
      </c>
      <c r="J292">
        <v>50925</v>
      </c>
      <c r="K292" t="s">
        <v>45</v>
      </c>
      <c r="L292">
        <v>8</v>
      </c>
      <c r="M292">
        <v>27</v>
      </c>
      <c r="N292">
        <v>5</v>
      </c>
      <c r="O292" t="s">
        <v>27</v>
      </c>
      <c r="P292" t="s">
        <v>28</v>
      </c>
      <c r="Q292">
        <v>4</v>
      </c>
      <c r="R292" t="s">
        <v>28</v>
      </c>
      <c r="S292" t="s">
        <v>27</v>
      </c>
      <c r="T292" t="b">
        <f t="shared" si="40"/>
        <v>0</v>
      </c>
      <c r="U292" t="str">
        <f t="shared" si="41"/>
        <v>Employee_0291</v>
      </c>
      <c r="V292" t="str">
        <f t="shared" si="42"/>
        <v>Male</v>
      </c>
      <c r="W292" t="str">
        <f t="shared" si="43"/>
        <v>Customer Support</v>
      </c>
      <c r="X292" t="str">
        <f t="shared" si="44"/>
        <v>Mumbai</v>
      </c>
      <c r="Y292" t="str">
        <f t="shared" si="45"/>
        <v>Valid</v>
      </c>
      <c r="Z292" t="str">
        <f t="shared" si="46"/>
        <v>Valid</v>
      </c>
      <c r="AA292" t="str">
        <f t="shared" si="47"/>
        <v>Valid</v>
      </c>
      <c r="AB292" s="9" t="str">
        <f t="shared" si="48"/>
        <v>Valid</v>
      </c>
      <c r="AC292" s="9" t="str">
        <f t="shared" si="49"/>
        <v>Valid</v>
      </c>
      <c r="AD292" s="9" t="str">
        <f>IF(AND(Y292="Valid",Z292="Valid",AA292="Valid",AB292="Valid",COUNTIF($A$2:A292,A292)=1),"Include","Exclude")</f>
        <v>Include</v>
      </c>
    </row>
    <row r="293" spans="1:30" x14ac:dyDescent="0.35">
      <c r="A293" t="s">
        <v>634</v>
      </c>
      <c r="B293" t="s">
        <v>635</v>
      </c>
      <c r="C293" t="s">
        <v>21</v>
      </c>
      <c r="D293">
        <v>33</v>
      </c>
      <c r="E293" t="s">
        <v>22</v>
      </c>
      <c r="F293" t="s">
        <v>39</v>
      </c>
      <c r="G293" t="s">
        <v>24</v>
      </c>
      <c r="H293" t="s">
        <v>25</v>
      </c>
      <c r="I293">
        <v>8</v>
      </c>
      <c r="J293">
        <v>64407</v>
      </c>
      <c r="K293" t="s">
        <v>40</v>
      </c>
      <c r="L293">
        <v>8</v>
      </c>
      <c r="M293">
        <v>7</v>
      </c>
      <c r="N293">
        <v>0</v>
      </c>
      <c r="O293" t="s">
        <v>28</v>
      </c>
      <c r="P293" t="s">
        <v>27</v>
      </c>
      <c r="Q293">
        <v>2</v>
      </c>
      <c r="R293" t="s">
        <v>27</v>
      </c>
      <c r="S293" t="s">
        <v>27</v>
      </c>
      <c r="T293" t="b">
        <f t="shared" si="40"/>
        <v>0</v>
      </c>
      <c r="U293" t="str">
        <f t="shared" si="41"/>
        <v>Employee_0292</v>
      </c>
      <c r="V293" t="str">
        <f t="shared" si="42"/>
        <v>Female</v>
      </c>
      <c r="W293" t="str">
        <f t="shared" si="43"/>
        <v>Operations</v>
      </c>
      <c r="X293" t="str">
        <f t="shared" si="44"/>
        <v>Hyderabad</v>
      </c>
      <c r="Y293" t="str">
        <f t="shared" si="45"/>
        <v>Valid</v>
      </c>
      <c r="Z293" t="str">
        <f t="shared" si="46"/>
        <v>Valid</v>
      </c>
      <c r="AA293" t="str">
        <f t="shared" si="47"/>
        <v>Valid</v>
      </c>
      <c r="AB293" s="9" t="str">
        <f t="shared" si="48"/>
        <v>Valid</v>
      </c>
      <c r="AC293" s="9" t="str">
        <f t="shared" si="49"/>
        <v>Valid</v>
      </c>
      <c r="AD293" s="9" t="str">
        <f>IF(AND(Y293="Valid",Z293="Valid",AA293="Valid",AB293="Valid",COUNTIF($A$2:A293,A293)=1),"Include","Exclude")</f>
        <v>Include</v>
      </c>
    </row>
    <row r="294" spans="1:30" x14ac:dyDescent="0.35">
      <c r="A294" t="s">
        <v>636</v>
      </c>
      <c r="B294" t="s">
        <v>637</v>
      </c>
      <c r="C294" t="s">
        <v>21</v>
      </c>
      <c r="D294">
        <v>40</v>
      </c>
      <c r="E294" t="s">
        <v>55</v>
      </c>
      <c r="F294" t="s">
        <v>48</v>
      </c>
      <c r="G294" t="s">
        <v>44</v>
      </c>
      <c r="H294" t="s">
        <v>61</v>
      </c>
      <c r="I294">
        <v>7</v>
      </c>
      <c r="J294">
        <v>39006</v>
      </c>
      <c r="K294" t="s">
        <v>35</v>
      </c>
      <c r="L294">
        <v>9</v>
      </c>
      <c r="M294">
        <v>25</v>
      </c>
      <c r="N294">
        <v>6</v>
      </c>
      <c r="O294" t="s">
        <v>28</v>
      </c>
      <c r="P294" t="s">
        <v>27</v>
      </c>
      <c r="Q294">
        <v>5</v>
      </c>
      <c r="R294" t="s">
        <v>27</v>
      </c>
      <c r="S294" t="s">
        <v>27</v>
      </c>
      <c r="T294" t="b">
        <f t="shared" si="40"/>
        <v>0</v>
      </c>
      <c r="U294" t="str">
        <f t="shared" si="41"/>
        <v>Employee_0293</v>
      </c>
      <c r="V294" t="str">
        <f t="shared" si="42"/>
        <v>Female</v>
      </c>
      <c r="W294" t="str">
        <f t="shared" si="43"/>
        <v>Customer Support</v>
      </c>
      <c r="X294" t="str">
        <f t="shared" si="44"/>
        <v>Noida</v>
      </c>
      <c r="Y294" t="str">
        <f t="shared" si="45"/>
        <v>Valid</v>
      </c>
      <c r="Z294" t="str">
        <f t="shared" si="46"/>
        <v>Valid</v>
      </c>
      <c r="AA294" t="str">
        <f t="shared" si="47"/>
        <v>Valid</v>
      </c>
      <c r="AB294" s="9" t="str">
        <f t="shared" si="48"/>
        <v>Valid</v>
      </c>
      <c r="AC294" s="9" t="str">
        <f t="shared" si="49"/>
        <v>Valid</v>
      </c>
      <c r="AD294" s="9" t="str">
        <f>IF(AND(Y294="Valid",Z294="Valid",AA294="Valid",AB294="Valid",COUNTIF($A$2:A294,A294)=1),"Include","Exclude")</f>
        <v>Include</v>
      </c>
    </row>
    <row r="295" spans="1:30" x14ac:dyDescent="0.35">
      <c r="A295" t="s">
        <v>638</v>
      </c>
      <c r="B295" t="s">
        <v>639</v>
      </c>
      <c r="C295" t="s">
        <v>31</v>
      </c>
      <c r="D295">
        <v>24</v>
      </c>
      <c r="E295" t="s">
        <v>55</v>
      </c>
      <c r="F295" t="s">
        <v>64</v>
      </c>
      <c r="G295" t="s">
        <v>24</v>
      </c>
      <c r="H295" t="s">
        <v>34</v>
      </c>
      <c r="I295">
        <v>2</v>
      </c>
      <c r="J295">
        <v>55570</v>
      </c>
      <c r="K295" t="s">
        <v>45</v>
      </c>
      <c r="L295">
        <v>5</v>
      </c>
      <c r="M295">
        <v>38</v>
      </c>
      <c r="N295">
        <v>5</v>
      </c>
      <c r="O295" t="s">
        <v>27</v>
      </c>
      <c r="P295" t="s">
        <v>28</v>
      </c>
      <c r="Q295">
        <v>3</v>
      </c>
      <c r="R295" t="s">
        <v>28</v>
      </c>
      <c r="S295" t="s">
        <v>27</v>
      </c>
      <c r="T295" t="b">
        <f t="shared" si="40"/>
        <v>0</v>
      </c>
      <c r="U295" t="str">
        <f t="shared" si="41"/>
        <v>Employee_0294</v>
      </c>
      <c r="V295" t="str">
        <f t="shared" si="42"/>
        <v>Male</v>
      </c>
      <c r="W295" t="str">
        <f t="shared" si="43"/>
        <v>Marketing</v>
      </c>
      <c r="X295" t="str">
        <f t="shared" si="44"/>
        <v>Gurgaon</v>
      </c>
      <c r="Y295" t="str">
        <f t="shared" si="45"/>
        <v>Valid</v>
      </c>
      <c r="Z295" t="str">
        <f t="shared" si="46"/>
        <v>Valid</v>
      </c>
      <c r="AA295" t="str">
        <f t="shared" si="47"/>
        <v>Valid</v>
      </c>
      <c r="AB295" s="9" t="str">
        <f t="shared" si="48"/>
        <v>Valid</v>
      </c>
      <c r="AC295" s="9" t="str">
        <f t="shared" si="49"/>
        <v>Valid</v>
      </c>
      <c r="AD295" s="9" t="str">
        <f>IF(AND(Y295="Valid",Z295="Valid",AA295="Valid",AB295="Valid",COUNTIF($A$2:A295,A295)=1),"Include","Exclude")</f>
        <v>Include</v>
      </c>
    </row>
    <row r="296" spans="1:30" x14ac:dyDescent="0.35">
      <c r="A296" t="s">
        <v>640</v>
      </c>
      <c r="B296" t="s">
        <v>641</v>
      </c>
      <c r="C296" t="s">
        <v>31</v>
      </c>
      <c r="D296">
        <v>33</v>
      </c>
      <c r="E296" t="s">
        <v>38</v>
      </c>
      <c r="F296" t="s">
        <v>48</v>
      </c>
      <c r="G296" t="s">
        <v>24</v>
      </c>
      <c r="H296" t="s">
        <v>52</v>
      </c>
      <c r="I296">
        <v>4</v>
      </c>
      <c r="J296">
        <v>44023</v>
      </c>
      <c r="K296" t="s">
        <v>35</v>
      </c>
      <c r="L296">
        <v>2</v>
      </c>
      <c r="M296">
        <v>60</v>
      </c>
      <c r="N296">
        <v>8</v>
      </c>
      <c r="O296" t="s">
        <v>27</v>
      </c>
      <c r="P296" t="s">
        <v>28</v>
      </c>
      <c r="Q296">
        <v>2</v>
      </c>
      <c r="R296" t="s">
        <v>28</v>
      </c>
      <c r="S296" t="s">
        <v>27</v>
      </c>
      <c r="T296" t="b">
        <f t="shared" si="40"/>
        <v>0</v>
      </c>
      <c r="U296" t="str">
        <f t="shared" si="41"/>
        <v>Employee_0295</v>
      </c>
      <c r="V296" t="str">
        <f t="shared" si="42"/>
        <v>Male</v>
      </c>
      <c r="W296" t="str">
        <f t="shared" si="43"/>
        <v>Customer Support</v>
      </c>
      <c r="X296" t="str">
        <f t="shared" si="44"/>
        <v>Mumbai</v>
      </c>
      <c r="Y296" t="str">
        <f t="shared" si="45"/>
        <v>Valid</v>
      </c>
      <c r="Z296" t="str">
        <f t="shared" si="46"/>
        <v>Valid</v>
      </c>
      <c r="AA296" t="str">
        <f t="shared" si="47"/>
        <v>Valid</v>
      </c>
      <c r="AB296" s="9" t="str">
        <f t="shared" si="48"/>
        <v>Valid</v>
      </c>
      <c r="AC296" s="9" t="str">
        <f t="shared" si="49"/>
        <v>Valid</v>
      </c>
      <c r="AD296" s="9" t="str">
        <f>IF(AND(Y296="Valid",Z296="Valid",AA296="Valid",AB296="Valid",COUNTIF($A$2:A296,A296)=1),"Include","Exclude")</f>
        <v>Include</v>
      </c>
    </row>
    <row r="297" spans="1:30" x14ac:dyDescent="0.35">
      <c r="A297" t="s">
        <v>642</v>
      </c>
      <c r="B297" t="s">
        <v>643</v>
      </c>
      <c r="C297" t="s">
        <v>31</v>
      </c>
      <c r="D297">
        <v>47</v>
      </c>
      <c r="E297" t="s">
        <v>55</v>
      </c>
      <c r="F297" t="s">
        <v>64</v>
      </c>
      <c r="G297" t="s">
        <v>24</v>
      </c>
      <c r="H297" t="s">
        <v>49</v>
      </c>
      <c r="I297">
        <v>13</v>
      </c>
      <c r="J297">
        <v>66320</v>
      </c>
      <c r="K297" t="s">
        <v>26</v>
      </c>
      <c r="L297">
        <v>6</v>
      </c>
      <c r="M297">
        <v>31</v>
      </c>
      <c r="N297">
        <v>5</v>
      </c>
      <c r="O297" t="s">
        <v>27</v>
      </c>
      <c r="P297" t="s">
        <v>28</v>
      </c>
      <c r="Q297">
        <v>1</v>
      </c>
      <c r="R297" t="s">
        <v>27</v>
      </c>
      <c r="S297" t="s">
        <v>27</v>
      </c>
      <c r="T297" t="b">
        <f t="shared" si="40"/>
        <v>0</v>
      </c>
      <c r="U297" t="str">
        <f t="shared" si="41"/>
        <v>Employee_0296</v>
      </c>
      <c r="V297" t="str">
        <f t="shared" si="42"/>
        <v>Male</v>
      </c>
      <c r="W297" t="str">
        <f t="shared" si="43"/>
        <v>Marketing</v>
      </c>
      <c r="X297" t="str">
        <f t="shared" si="44"/>
        <v>Delhi</v>
      </c>
      <c r="Y297" t="str">
        <f t="shared" si="45"/>
        <v>Valid</v>
      </c>
      <c r="Z297" t="str">
        <f t="shared" si="46"/>
        <v>Valid</v>
      </c>
      <c r="AA297" t="str">
        <f t="shared" si="47"/>
        <v>Valid</v>
      </c>
      <c r="AB297" s="9" t="str">
        <f t="shared" si="48"/>
        <v>Valid</v>
      </c>
      <c r="AC297" s="9" t="str">
        <f t="shared" si="49"/>
        <v>Valid</v>
      </c>
      <c r="AD297" s="9" t="str">
        <f>IF(AND(Y297="Valid",Z297="Valid",AA297="Valid",AB297="Valid",COUNTIF($A$2:A297,A297)=1),"Include","Exclude")</f>
        <v>Include</v>
      </c>
    </row>
    <row r="298" spans="1:30" x14ac:dyDescent="0.35">
      <c r="A298" t="s">
        <v>644</v>
      </c>
      <c r="B298" t="s">
        <v>645</v>
      </c>
      <c r="C298" t="s">
        <v>21</v>
      </c>
      <c r="D298">
        <v>33</v>
      </c>
      <c r="E298" t="s">
        <v>38</v>
      </c>
      <c r="F298" t="s">
        <v>23</v>
      </c>
      <c r="G298" t="s">
        <v>24</v>
      </c>
      <c r="H298" t="s">
        <v>34</v>
      </c>
      <c r="I298">
        <v>9</v>
      </c>
      <c r="J298">
        <v>69559</v>
      </c>
      <c r="K298" t="s">
        <v>45</v>
      </c>
      <c r="L298">
        <v>3</v>
      </c>
      <c r="M298">
        <v>1</v>
      </c>
      <c r="N298">
        <v>3</v>
      </c>
      <c r="O298" t="s">
        <v>27</v>
      </c>
      <c r="P298" t="s">
        <v>27</v>
      </c>
      <c r="Q298">
        <v>4</v>
      </c>
      <c r="R298" t="s">
        <v>27</v>
      </c>
      <c r="S298" t="s">
        <v>27</v>
      </c>
      <c r="T298" t="b">
        <f t="shared" si="40"/>
        <v>0</v>
      </c>
      <c r="U298" t="str">
        <f t="shared" si="41"/>
        <v>Employee_0297</v>
      </c>
      <c r="V298" t="str">
        <f t="shared" si="42"/>
        <v>Female</v>
      </c>
      <c r="W298" t="str">
        <f t="shared" si="43"/>
        <v>Finance</v>
      </c>
      <c r="X298" t="str">
        <f t="shared" si="44"/>
        <v>Gurgaon</v>
      </c>
      <c r="Y298" t="str">
        <f t="shared" si="45"/>
        <v>Valid</v>
      </c>
      <c r="Z298" t="str">
        <f t="shared" si="46"/>
        <v>Valid</v>
      </c>
      <c r="AA298" t="str">
        <f t="shared" si="47"/>
        <v>Valid</v>
      </c>
      <c r="AB298" s="9" t="str">
        <f t="shared" si="48"/>
        <v>Valid</v>
      </c>
      <c r="AC298" s="9" t="str">
        <f t="shared" si="49"/>
        <v>Valid</v>
      </c>
      <c r="AD298" s="9" t="str">
        <f>IF(AND(Y298="Valid",Z298="Valid",AA298="Valid",AB298="Valid",COUNTIF($A$2:A298,A298)=1),"Include","Exclude")</f>
        <v>Include</v>
      </c>
    </row>
    <row r="299" spans="1:30" x14ac:dyDescent="0.35">
      <c r="A299" t="s">
        <v>646</v>
      </c>
      <c r="B299" t="s">
        <v>647</v>
      </c>
      <c r="C299" t="s">
        <v>31</v>
      </c>
      <c r="D299">
        <v>51</v>
      </c>
      <c r="E299" t="s">
        <v>55</v>
      </c>
      <c r="F299" t="s">
        <v>64</v>
      </c>
      <c r="G299" t="s">
        <v>69</v>
      </c>
      <c r="H299" t="s">
        <v>61</v>
      </c>
      <c r="I299">
        <v>18</v>
      </c>
      <c r="J299">
        <v>59336</v>
      </c>
      <c r="K299" t="s">
        <v>45</v>
      </c>
      <c r="L299">
        <v>5</v>
      </c>
      <c r="M299">
        <v>49</v>
      </c>
      <c r="N299">
        <v>4</v>
      </c>
      <c r="O299" t="s">
        <v>28</v>
      </c>
      <c r="P299" t="s">
        <v>28</v>
      </c>
      <c r="Q299">
        <v>4</v>
      </c>
      <c r="R299" t="s">
        <v>28</v>
      </c>
      <c r="S299" t="s">
        <v>27</v>
      </c>
      <c r="T299" t="b">
        <f t="shared" si="40"/>
        <v>0</v>
      </c>
      <c r="U299" t="str">
        <f t="shared" si="41"/>
        <v>Employee_0298</v>
      </c>
      <c r="V299" t="str">
        <f t="shared" si="42"/>
        <v>Male</v>
      </c>
      <c r="W299" t="str">
        <f t="shared" si="43"/>
        <v>Marketing</v>
      </c>
      <c r="X299" t="str">
        <f t="shared" si="44"/>
        <v>Noida</v>
      </c>
      <c r="Y299" t="str">
        <f t="shared" si="45"/>
        <v>Valid</v>
      </c>
      <c r="Z299" t="str">
        <f t="shared" si="46"/>
        <v>Valid</v>
      </c>
      <c r="AA299" t="str">
        <f t="shared" si="47"/>
        <v>Valid</v>
      </c>
      <c r="AB299" s="9" t="str">
        <f t="shared" si="48"/>
        <v>Valid</v>
      </c>
      <c r="AC299" s="9" t="str">
        <f t="shared" si="49"/>
        <v>Valid</v>
      </c>
      <c r="AD299" s="9" t="str">
        <f>IF(AND(Y299="Valid",Z299="Valid",AA299="Valid",AB299="Valid",COUNTIF($A$2:A299,A299)=1),"Include","Exclude")</f>
        <v>Include</v>
      </c>
    </row>
    <row r="300" spans="1:30" x14ac:dyDescent="0.35">
      <c r="A300" t="s">
        <v>648</v>
      </c>
      <c r="B300" t="s">
        <v>649</v>
      </c>
      <c r="C300" t="s">
        <v>31</v>
      </c>
      <c r="D300">
        <v>50</v>
      </c>
      <c r="E300" t="s">
        <v>55</v>
      </c>
      <c r="F300" t="s">
        <v>43</v>
      </c>
      <c r="G300" t="s">
        <v>24</v>
      </c>
      <c r="H300" t="s">
        <v>70</v>
      </c>
      <c r="I300">
        <v>17</v>
      </c>
      <c r="J300">
        <v>81626</v>
      </c>
      <c r="K300" t="s">
        <v>26</v>
      </c>
      <c r="L300">
        <v>1</v>
      </c>
      <c r="M300">
        <v>20</v>
      </c>
      <c r="N300">
        <v>3</v>
      </c>
      <c r="O300" t="s">
        <v>27</v>
      </c>
      <c r="P300" t="s">
        <v>28</v>
      </c>
      <c r="Q300">
        <v>1</v>
      </c>
      <c r="R300" t="s">
        <v>27</v>
      </c>
      <c r="S300" t="s">
        <v>27</v>
      </c>
      <c r="T300" t="b">
        <f t="shared" si="40"/>
        <v>0</v>
      </c>
      <c r="U300" t="str">
        <f t="shared" si="41"/>
        <v>Employee_0299</v>
      </c>
      <c r="V300" t="str">
        <f t="shared" si="42"/>
        <v>Male</v>
      </c>
      <c r="W300" t="str">
        <f t="shared" si="43"/>
        <v>It</v>
      </c>
      <c r="X300" t="str">
        <f t="shared" si="44"/>
        <v>Bangalore</v>
      </c>
      <c r="Y300" t="str">
        <f t="shared" si="45"/>
        <v>Valid</v>
      </c>
      <c r="Z300" t="str">
        <f t="shared" si="46"/>
        <v>Valid</v>
      </c>
      <c r="AA300" t="str">
        <f t="shared" si="47"/>
        <v>Valid</v>
      </c>
      <c r="AB300" s="9" t="str">
        <f t="shared" si="48"/>
        <v>Valid</v>
      </c>
      <c r="AC300" s="9" t="str">
        <f t="shared" si="49"/>
        <v>Valid</v>
      </c>
      <c r="AD300" s="9" t="str">
        <f>IF(AND(Y300="Valid",Z300="Valid",AA300="Valid",AB300="Valid",COUNTIF($A$2:A300,A300)=1),"Include","Exclude")</f>
        <v>Include</v>
      </c>
    </row>
    <row r="301" spans="1:30" x14ac:dyDescent="0.35">
      <c r="A301" t="s">
        <v>650</v>
      </c>
      <c r="B301" t="s">
        <v>651</v>
      </c>
      <c r="C301" t="s">
        <v>31</v>
      </c>
      <c r="D301">
        <v>34</v>
      </c>
      <c r="E301" t="s">
        <v>55</v>
      </c>
      <c r="F301" t="s">
        <v>23</v>
      </c>
      <c r="G301" t="s">
        <v>24</v>
      </c>
      <c r="H301" t="s">
        <v>70</v>
      </c>
      <c r="I301">
        <v>11</v>
      </c>
      <c r="J301">
        <v>66098</v>
      </c>
      <c r="K301" t="s">
        <v>35</v>
      </c>
      <c r="L301">
        <v>6</v>
      </c>
      <c r="M301">
        <v>28</v>
      </c>
      <c r="N301">
        <v>7</v>
      </c>
      <c r="O301" t="s">
        <v>27</v>
      </c>
      <c r="P301" t="s">
        <v>28</v>
      </c>
      <c r="Q301">
        <v>5</v>
      </c>
      <c r="R301" t="s">
        <v>27</v>
      </c>
      <c r="S301" t="s">
        <v>27</v>
      </c>
      <c r="T301" t="b">
        <f t="shared" si="40"/>
        <v>0</v>
      </c>
      <c r="U301" t="str">
        <f t="shared" si="41"/>
        <v>Employee_0300</v>
      </c>
      <c r="V301" t="str">
        <f t="shared" si="42"/>
        <v>Male</v>
      </c>
      <c r="W301" t="str">
        <f t="shared" si="43"/>
        <v>Finance</v>
      </c>
      <c r="X301" t="str">
        <f t="shared" si="44"/>
        <v>Bangalore</v>
      </c>
      <c r="Y301" t="str">
        <f t="shared" si="45"/>
        <v>Valid</v>
      </c>
      <c r="Z301" t="str">
        <f t="shared" si="46"/>
        <v>Valid</v>
      </c>
      <c r="AA301" t="str">
        <f t="shared" si="47"/>
        <v>Valid</v>
      </c>
      <c r="AB301" s="9" t="str">
        <f t="shared" si="48"/>
        <v>Valid</v>
      </c>
      <c r="AC301" s="9" t="str">
        <f t="shared" si="49"/>
        <v>Valid</v>
      </c>
      <c r="AD301" s="9" t="str">
        <f>IF(AND(Y301="Valid",Z301="Valid",AA301="Valid",AB301="Valid",COUNTIF($A$2:A301,A301)=1),"Include","Exclude")</f>
        <v>Include</v>
      </c>
    </row>
    <row r="302" spans="1:30" x14ac:dyDescent="0.35">
      <c r="A302" t="s">
        <v>652</v>
      </c>
      <c r="B302" t="s">
        <v>653</v>
      </c>
      <c r="C302" t="s">
        <v>31</v>
      </c>
      <c r="D302">
        <v>35</v>
      </c>
      <c r="E302" t="s">
        <v>38</v>
      </c>
      <c r="F302" t="s">
        <v>48</v>
      </c>
      <c r="G302" t="s">
        <v>24</v>
      </c>
      <c r="H302" t="s">
        <v>70</v>
      </c>
      <c r="I302">
        <v>11</v>
      </c>
      <c r="J302">
        <v>50564</v>
      </c>
      <c r="K302" t="s">
        <v>45</v>
      </c>
      <c r="L302">
        <v>1</v>
      </c>
      <c r="M302">
        <v>27</v>
      </c>
      <c r="N302">
        <v>2</v>
      </c>
      <c r="O302" t="s">
        <v>27</v>
      </c>
      <c r="P302" t="s">
        <v>28</v>
      </c>
      <c r="Q302">
        <v>5</v>
      </c>
      <c r="R302" t="s">
        <v>27</v>
      </c>
      <c r="S302" t="s">
        <v>28</v>
      </c>
      <c r="T302" t="b">
        <f t="shared" si="40"/>
        <v>0</v>
      </c>
      <c r="U302" t="str">
        <f t="shared" si="41"/>
        <v>Employee_0301</v>
      </c>
      <c r="V302" t="str">
        <f t="shared" si="42"/>
        <v>Male</v>
      </c>
      <c r="W302" t="str">
        <f t="shared" si="43"/>
        <v>Customer Support</v>
      </c>
      <c r="X302" t="str">
        <f t="shared" si="44"/>
        <v>Bangalore</v>
      </c>
      <c r="Y302" t="str">
        <f t="shared" si="45"/>
        <v>Valid</v>
      </c>
      <c r="Z302" t="str">
        <f t="shared" si="46"/>
        <v>Valid</v>
      </c>
      <c r="AA302" t="str">
        <f t="shared" si="47"/>
        <v>Valid</v>
      </c>
      <c r="AB302" s="9" t="str">
        <f t="shared" si="48"/>
        <v>Valid</v>
      </c>
      <c r="AC302" s="9" t="str">
        <f t="shared" si="49"/>
        <v>Valid</v>
      </c>
      <c r="AD302" s="9" t="str">
        <f>IF(AND(Y302="Valid",Z302="Valid",AA302="Valid",AB302="Valid",COUNTIF($A$2:A302,A302)=1),"Include","Exclude")</f>
        <v>Include</v>
      </c>
    </row>
    <row r="303" spans="1:30" x14ac:dyDescent="0.35">
      <c r="A303" t="s">
        <v>654</v>
      </c>
      <c r="B303" t="s">
        <v>655</v>
      </c>
      <c r="C303" t="s">
        <v>31</v>
      </c>
      <c r="D303">
        <v>21</v>
      </c>
      <c r="E303" t="s">
        <v>55</v>
      </c>
      <c r="F303" t="s">
        <v>33</v>
      </c>
      <c r="G303" t="s">
        <v>24</v>
      </c>
      <c r="H303" t="s">
        <v>70</v>
      </c>
      <c r="I303">
        <v>0</v>
      </c>
      <c r="J303">
        <v>55430</v>
      </c>
      <c r="K303" t="s">
        <v>26</v>
      </c>
      <c r="L303">
        <v>10</v>
      </c>
      <c r="M303">
        <v>31</v>
      </c>
      <c r="N303">
        <v>4</v>
      </c>
      <c r="O303" t="s">
        <v>28</v>
      </c>
      <c r="P303" t="s">
        <v>28</v>
      </c>
      <c r="Q303">
        <v>4</v>
      </c>
      <c r="R303" t="s">
        <v>27</v>
      </c>
      <c r="S303" t="s">
        <v>27</v>
      </c>
      <c r="T303" t="b">
        <f t="shared" si="40"/>
        <v>0</v>
      </c>
      <c r="U303" t="str">
        <f t="shared" si="41"/>
        <v>Employee_0302</v>
      </c>
      <c r="V303" t="str">
        <f t="shared" si="42"/>
        <v>Male</v>
      </c>
      <c r="W303" t="str">
        <f t="shared" si="43"/>
        <v>Sales</v>
      </c>
      <c r="X303" t="str">
        <f t="shared" si="44"/>
        <v>Bangalore</v>
      </c>
      <c r="Y303" t="str">
        <f t="shared" si="45"/>
        <v>Valid</v>
      </c>
      <c r="Z303" t="str">
        <f t="shared" si="46"/>
        <v>Valid</v>
      </c>
      <c r="AA303" t="str">
        <f t="shared" si="47"/>
        <v>Valid</v>
      </c>
      <c r="AB303" s="9" t="str">
        <f t="shared" si="48"/>
        <v>Valid</v>
      </c>
      <c r="AC303" s="9" t="str">
        <f t="shared" si="49"/>
        <v>Valid</v>
      </c>
      <c r="AD303" s="9" t="str">
        <f>IF(AND(Y303="Valid",Z303="Valid",AA303="Valid",AB303="Valid",COUNTIF($A$2:A303,A303)=1),"Include","Exclude")</f>
        <v>Include</v>
      </c>
    </row>
    <row r="304" spans="1:30" x14ac:dyDescent="0.35">
      <c r="A304" t="s">
        <v>656</v>
      </c>
      <c r="B304" t="s">
        <v>657</v>
      </c>
      <c r="C304" t="s">
        <v>31</v>
      </c>
      <c r="D304">
        <v>50</v>
      </c>
      <c r="E304" t="s">
        <v>38</v>
      </c>
      <c r="F304" t="s">
        <v>48</v>
      </c>
      <c r="G304" t="s">
        <v>24</v>
      </c>
      <c r="H304" t="s">
        <v>61</v>
      </c>
      <c r="I304">
        <v>23</v>
      </c>
      <c r="J304">
        <v>61703</v>
      </c>
      <c r="K304" t="s">
        <v>26</v>
      </c>
      <c r="L304">
        <v>7</v>
      </c>
      <c r="M304">
        <v>52</v>
      </c>
      <c r="N304">
        <v>4</v>
      </c>
      <c r="O304" t="s">
        <v>28</v>
      </c>
      <c r="P304" t="s">
        <v>28</v>
      </c>
      <c r="Q304">
        <v>3</v>
      </c>
      <c r="R304" t="s">
        <v>27</v>
      </c>
      <c r="S304" t="s">
        <v>28</v>
      </c>
      <c r="T304" t="b">
        <f t="shared" si="40"/>
        <v>0</v>
      </c>
      <c r="U304" t="str">
        <f t="shared" si="41"/>
        <v>Employee_0303</v>
      </c>
      <c r="V304" t="str">
        <f t="shared" si="42"/>
        <v>Male</v>
      </c>
      <c r="W304" t="str">
        <f t="shared" si="43"/>
        <v>Customer Support</v>
      </c>
      <c r="X304" t="str">
        <f t="shared" si="44"/>
        <v>Noida</v>
      </c>
      <c r="Y304" t="str">
        <f t="shared" si="45"/>
        <v>Valid</v>
      </c>
      <c r="Z304" t="str">
        <f t="shared" si="46"/>
        <v>Valid</v>
      </c>
      <c r="AA304" t="str">
        <f t="shared" si="47"/>
        <v>Valid</v>
      </c>
      <c r="AB304" s="9" t="str">
        <f t="shared" si="48"/>
        <v>Valid</v>
      </c>
      <c r="AC304" s="9" t="str">
        <f t="shared" si="49"/>
        <v>Valid</v>
      </c>
      <c r="AD304" s="9" t="str">
        <f>IF(AND(Y304="Valid",Z304="Valid",AA304="Valid",AB304="Valid",COUNTIF($A$2:A304,A304)=1),"Include","Exclude")</f>
        <v>Include</v>
      </c>
    </row>
    <row r="305" spans="1:30" x14ac:dyDescent="0.35">
      <c r="A305" t="s">
        <v>658</v>
      </c>
      <c r="B305" t="s">
        <v>659</v>
      </c>
      <c r="C305" t="s">
        <v>31</v>
      </c>
      <c r="D305">
        <v>32</v>
      </c>
      <c r="E305" t="s">
        <v>38</v>
      </c>
      <c r="F305" t="s">
        <v>60</v>
      </c>
      <c r="G305" t="s">
        <v>24</v>
      </c>
      <c r="H305" t="s">
        <v>70</v>
      </c>
      <c r="I305">
        <v>5</v>
      </c>
      <c r="J305">
        <v>65447</v>
      </c>
      <c r="K305" t="s">
        <v>40</v>
      </c>
      <c r="L305">
        <v>10</v>
      </c>
      <c r="M305">
        <v>36</v>
      </c>
      <c r="N305">
        <v>8</v>
      </c>
      <c r="O305" t="s">
        <v>28</v>
      </c>
      <c r="P305" t="s">
        <v>27</v>
      </c>
      <c r="Q305">
        <v>5</v>
      </c>
      <c r="R305" t="s">
        <v>27</v>
      </c>
      <c r="S305" t="s">
        <v>27</v>
      </c>
      <c r="T305" t="b">
        <f t="shared" si="40"/>
        <v>0</v>
      </c>
      <c r="U305" t="str">
        <f t="shared" si="41"/>
        <v>Employee_0304</v>
      </c>
      <c r="V305" t="str">
        <f t="shared" si="42"/>
        <v>Male</v>
      </c>
      <c r="W305" t="str">
        <f t="shared" si="43"/>
        <v>Hr</v>
      </c>
      <c r="X305" t="str">
        <f t="shared" si="44"/>
        <v>Bangalore</v>
      </c>
      <c r="Y305" t="str">
        <f t="shared" si="45"/>
        <v>Valid</v>
      </c>
      <c r="Z305" t="str">
        <f t="shared" si="46"/>
        <v>Valid</v>
      </c>
      <c r="AA305" t="str">
        <f t="shared" si="47"/>
        <v>Valid</v>
      </c>
      <c r="AB305" s="9" t="str">
        <f t="shared" si="48"/>
        <v>Valid</v>
      </c>
      <c r="AC305" s="9" t="str">
        <f t="shared" si="49"/>
        <v>Valid</v>
      </c>
      <c r="AD305" s="9" t="str">
        <f>IF(AND(Y305="Valid",Z305="Valid",AA305="Valid",AB305="Valid",COUNTIF($A$2:A305,A305)=1),"Include","Exclude")</f>
        <v>Include</v>
      </c>
    </row>
    <row r="306" spans="1:30" x14ac:dyDescent="0.35">
      <c r="A306" t="s">
        <v>660</v>
      </c>
      <c r="B306" t="s">
        <v>661</v>
      </c>
      <c r="C306" t="s">
        <v>21</v>
      </c>
      <c r="D306">
        <v>52</v>
      </c>
      <c r="E306" t="s">
        <v>38</v>
      </c>
      <c r="F306" t="s">
        <v>43</v>
      </c>
      <c r="G306" t="s">
        <v>24</v>
      </c>
      <c r="H306" t="s">
        <v>25</v>
      </c>
      <c r="I306">
        <v>24</v>
      </c>
      <c r="J306">
        <v>75910</v>
      </c>
      <c r="K306" t="s">
        <v>45</v>
      </c>
      <c r="L306">
        <v>1</v>
      </c>
      <c r="M306">
        <v>41</v>
      </c>
      <c r="N306">
        <v>1</v>
      </c>
      <c r="O306" t="s">
        <v>27</v>
      </c>
      <c r="P306" t="s">
        <v>28</v>
      </c>
      <c r="Q306">
        <v>4</v>
      </c>
      <c r="R306" t="s">
        <v>28</v>
      </c>
      <c r="S306" t="s">
        <v>27</v>
      </c>
      <c r="T306" t="b">
        <f t="shared" si="40"/>
        <v>0</v>
      </c>
      <c r="U306" t="str">
        <f t="shared" si="41"/>
        <v>Employee_0305</v>
      </c>
      <c r="V306" t="str">
        <f t="shared" si="42"/>
        <v>Female</v>
      </c>
      <c r="W306" t="str">
        <f t="shared" si="43"/>
        <v>It</v>
      </c>
      <c r="X306" t="str">
        <f t="shared" si="44"/>
        <v>Hyderabad</v>
      </c>
      <c r="Y306" t="str">
        <f t="shared" si="45"/>
        <v>Valid</v>
      </c>
      <c r="Z306" t="str">
        <f t="shared" si="46"/>
        <v>Valid</v>
      </c>
      <c r="AA306" t="str">
        <f t="shared" si="47"/>
        <v>Valid</v>
      </c>
      <c r="AB306" s="9" t="str">
        <f t="shared" si="48"/>
        <v>Valid</v>
      </c>
      <c r="AC306" s="9" t="str">
        <f t="shared" si="49"/>
        <v>Valid</v>
      </c>
      <c r="AD306" s="9" t="str">
        <f>IF(AND(Y306="Valid",Z306="Valid",AA306="Valid",AB306="Valid",COUNTIF($A$2:A306,A306)=1),"Include","Exclude")</f>
        <v>Include</v>
      </c>
    </row>
    <row r="307" spans="1:30" x14ac:dyDescent="0.35">
      <c r="A307" t="s">
        <v>662</v>
      </c>
      <c r="B307" t="s">
        <v>663</v>
      </c>
      <c r="C307" t="s">
        <v>31</v>
      </c>
      <c r="D307">
        <v>51</v>
      </c>
      <c r="E307" t="s">
        <v>55</v>
      </c>
      <c r="F307" t="s">
        <v>64</v>
      </c>
      <c r="G307" t="s">
        <v>24</v>
      </c>
      <c r="H307" t="s">
        <v>49</v>
      </c>
      <c r="I307">
        <v>19</v>
      </c>
      <c r="J307">
        <v>82000</v>
      </c>
      <c r="K307" t="s">
        <v>45</v>
      </c>
      <c r="L307">
        <v>8</v>
      </c>
      <c r="M307">
        <v>35</v>
      </c>
      <c r="N307">
        <v>4</v>
      </c>
      <c r="O307" t="s">
        <v>27</v>
      </c>
      <c r="P307" t="s">
        <v>28</v>
      </c>
      <c r="Q307">
        <v>2</v>
      </c>
      <c r="R307" t="s">
        <v>28</v>
      </c>
      <c r="S307" t="s">
        <v>28</v>
      </c>
      <c r="T307" t="b">
        <f t="shared" si="40"/>
        <v>0</v>
      </c>
      <c r="U307" t="str">
        <f t="shared" si="41"/>
        <v>Employee_0306</v>
      </c>
      <c r="V307" t="str">
        <f t="shared" si="42"/>
        <v>Male</v>
      </c>
      <c r="W307" t="str">
        <f t="shared" si="43"/>
        <v>Marketing</v>
      </c>
      <c r="X307" t="str">
        <f t="shared" si="44"/>
        <v>Delhi</v>
      </c>
      <c r="Y307" t="str">
        <f t="shared" si="45"/>
        <v>Valid</v>
      </c>
      <c r="Z307" t="str">
        <f t="shared" si="46"/>
        <v>Valid</v>
      </c>
      <c r="AA307" t="str">
        <f t="shared" si="47"/>
        <v>Valid</v>
      </c>
      <c r="AB307" s="9" t="str">
        <f t="shared" si="48"/>
        <v>Valid</v>
      </c>
      <c r="AC307" s="9" t="str">
        <f t="shared" si="49"/>
        <v>Valid</v>
      </c>
      <c r="AD307" s="9" t="str">
        <f>IF(AND(Y307="Valid",Z307="Valid",AA307="Valid",AB307="Valid",COUNTIF($A$2:A307,A307)=1),"Include","Exclude")</f>
        <v>Include</v>
      </c>
    </row>
    <row r="308" spans="1:30" x14ac:dyDescent="0.35">
      <c r="A308" t="s">
        <v>664</v>
      </c>
      <c r="B308" t="s">
        <v>665</v>
      </c>
      <c r="C308" t="s">
        <v>21</v>
      </c>
      <c r="D308">
        <v>27</v>
      </c>
      <c r="E308" t="s">
        <v>38</v>
      </c>
      <c r="F308" t="s">
        <v>23</v>
      </c>
      <c r="G308" t="s">
        <v>24</v>
      </c>
      <c r="H308" t="s">
        <v>70</v>
      </c>
      <c r="I308">
        <v>5</v>
      </c>
      <c r="J308">
        <v>67641</v>
      </c>
      <c r="K308" t="s">
        <v>45</v>
      </c>
      <c r="L308">
        <v>1</v>
      </c>
      <c r="M308">
        <v>42</v>
      </c>
      <c r="N308">
        <v>6</v>
      </c>
      <c r="O308" t="s">
        <v>27</v>
      </c>
      <c r="P308" t="s">
        <v>28</v>
      </c>
      <c r="Q308">
        <v>3</v>
      </c>
      <c r="R308" t="s">
        <v>27</v>
      </c>
      <c r="S308" t="s">
        <v>27</v>
      </c>
      <c r="T308" t="b">
        <f t="shared" si="40"/>
        <v>0</v>
      </c>
      <c r="U308" t="str">
        <f t="shared" si="41"/>
        <v>Employee_0307</v>
      </c>
      <c r="V308" t="str">
        <f t="shared" si="42"/>
        <v>Female</v>
      </c>
      <c r="W308" t="str">
        <f t="shared" si="43"/>
        <v>Finance</v>
      </c>
      <c r="X308" t="str">
        <f t="shared" si="44"/>
        <v>Bangalore</v>
      </c>
      <c r="Y308" t="str">
        <f t="shared" si="45"/>
        <v>Valid</v>
      </c>
      <c r="Z308" t="str">
        <f t="shared" si="46"/>
        <v>Valid</v>
      </c>
      <c r="AA308" t="str">
        <f t="shared" si="47"/>
        <v>Valid</v>
      </c>
      <c r="AB308" s="9" t="str">
        <f t="shared" si="48"/>
        <v>Valid</v>
      </c>
      <c r="AC308" s="9" t="str">
        <f t="shared" si="49"/>
        <v>Valid</v>
      </c>
      <c r="AD308" s="9" t="str">
        <f>IF(AND(Y308="Valid",Z308="Valid",AA308="Valid",AB308="Valid",COUNTIF($A$2:A308,A308)=1),"Include","Exclude")</f>
        <v>Include</v>
      </c>
    </row>
    <row r="309" spans="1:30" x14ac:dyDescent="0.35">
      <c r="A309" t="s">
        <v>666</v>
      </c>
      <c r="B309" t="s">
        <v>667</v>
      </c>
      <c r="C309" t="s">
        <v>31</v>
      </c>
      <c r="D309">
        <v>47</v>
      </c>
      <c r="E309" t="s">
        <v>55</v>
      </c>
      <c r="F309" t="s">
        <v>60</v>
      </c>
      <c r="G309" t="s">
        <v>24</v>
      </c>
      <c r="H309" t="s">
        <v>61</v>
      </c>
      <c r="I309">
        <v>12</v>
      </c>
      <c r="J309">
        <v>49196</v>
      </c>
      <c r="K309" t="s">
        <v>35</v>
      </c>
      <c r="L309">
        <v>5</v>
      </c>
      <c r="M309">
        <v>23</v>
      </c>
      <c r="N309">
        <v>5</v>
      </c>
      <c r="O309" t="s">
        <v>27</v>
      </c>
      <c r="P309" t="s">
        <v>28</v>
      </c>
      <c r="Q309">
        <v>2</v>
      </c>
      <c r="R309" t="s">
        <v>27</v>
      </c>
      <c r="S309" t="s">
        <v>27</v>
      </c>
      <c r="T309" t="b">
        <f t="shared" si="40"/>
        <v>0</v>
      </c>
      <c r="U309" t="str">
        <f t="shared" si="41"/>
        <v>Employee_0308</v>
      </c>
      <c r="V309" t="str">
        <f t="shared" si="42"/>
        <v>Male</v>
      </c>
      <c r="W309" t="str">
        <f t="shared" si="43"/>
        <v>Hr</v>
      </c>
      <c r="X309" t="str">
        <f t="shared" si="44"/>
        <v>Noida</v>
      </c>
      <c r="Y309" t="str">
        <f t="shared" si="45"/>
        <v>Valid</v>
      </c>
      <c r="Z309" t="str">
        <f t="shared" si="46"/>
        <v>Valid</v>
      </c>
      <c r="AA309" t="str">
        <f t="shared" si="47"/>
        <v>Valid</v>
      </c>
      <c r="AB309" s="9" t="str">
        <f t="shared" si="48"/>
        <v>Valid</v>
      </c>
      <c r="AC309" s="9" t="str">
        <f t="shared" si="49"/>
        <v>Valid</v>
      </c>
      <c r="AD309" s="9" t="str">
        <f>IF(AND(Y309="Valid",Z309="Valid",AA309="Valid",AB309="Valid",COUNTIF($A$2:A309,A309)=1),"Include","Exclude")</f>
        <v>Include</v>
      </c>
    </row>
    <row r="310" spans="1:30" x14ac:dyDescent="0.35">
      <c r="A310" t="s">
        <v>668</v>
      </c>
      <c r="B310" t="s">
        <v>669</v>
      </c>
      <c r="C310" t="s">
        <v>31</v>
      </c>
      <c r="D310">
        <v>50</v>
      </c>
      <c r="E310" t="s">
        <v>55</v>
      </c>
      <c r="F310" t="s">
        <v>39</v>
      </c>
      <c r="G310" t="s">
        <v>24</v>
      </c>
      <c r="H310" t="s">
        <v>131</v>
      </c>
      <c r="I310">
        <v>22</v>
      </c>
      <c r="J310">
        <v>55579</v>
      </c>
      <c r="K310" t="s">
        <v>35</v>
      </c>
      <c r="L310">
        <v>2</v>
      </c>
      <c r="M310">
        <v>26</v>
      </c>
      <c r="N310">
        <v>4</v>
      </c>
      <c r="O310" t="s">
        <v>27</v>
      </c>
      <c r="P310" t="s">
        <v>27</v>
      </c>
      <c r="Q310">
        <v>2</v>
      </c>
      <c r="R310" t="s">
        <v>27</v>
      </c>
      <c r="S310" t="s">
        <v>27</v>
      </c>
      <c r="T310" t="b">
        <f t="shared" si="40"/>
        <v>0</v>
      </c>
      <c r="U310" t="str">
        <f t="shared" si="41"/>
        <v>Employee_0309</v>
      </c>
      <c r="V310" t="str">
        <f t="shared" si="42"/>
        <v>Male</v>
      </c>
      <c r="W310" t="str">
        <f t="shared" si="43"/>
        <v>Operations</v>
      </c>
      <c r="X310" t="str">
        <f t="shared" si="44"/>
        <v>Pune</v>
      </c>
      <c r="Y310" t="str">
        <f t="shared" si="45"/>
        <v>Valid</v>
      </c>
      <c r="Z310" t="str">
        <f t="shared" si="46"/>
        <v>Valid</v>
      </c>
      <c r="AA310" t="str">
        <f t="shared" si="47"/>
        <v>Valid</v>
      </c>
      <c r="AB310" s="9" t="str">
        <f t="shared" si="48"/>
        <v>Valid</v>
      </c>
      <c r="AC310" s="9" t="str">
        <f t="shared" si="49"/>
        <v>Valid</v>
      </c>
      <c r="AD310" s="9" t="str">
        <f>IF(AND(Y310="Valid",Z310="Valid",AA310="Valid",AB310="Valid",COUNTIF($A$2:A310,A310)=1),"Include","Exclude")</f>
        <v>Include</v>
      </c>
    </row>
    <row r="311" spans="1:30" x14ac:dyDescent="0.35">
      <c r="A311" t="s">
        <v>670</v>
      </c>
      <c r="B311" t="s">
        <v>671</v>
      </c>
      <c r="C311" t="s">
        <v>31</v>
      </c>
      <c r="D311">
        <v>33</v>
      </c>
      <c r="E311" t="s">
        <v>38</v>
      </c>
      <c r="F311" t="s">
        <v>23</v>
      </c>
      <c r="G311" t="s">
        <v>24</v>
      </c>
      <c r="H311" t="s">
        <v>52</v>
      </c>
      <c r="I311">
        <v>9</v>
      </c>
      <c r="J311">
        <v>69845</v>
      </c>
      <c r="K311" t="s">
        <v>35</v>
      </c>
      <c r="L311">
        <v>2</v>
      </c>
      <c r="M311">
        <v>25</v>
      </c>
      <c r="N311">
        <v>5</v>
      </c>
      <c r="O311" t="s">
        <v>28</v>
      </c>
      <c r="P311" t="s">
        <v>27</v>
      </c>
      <c r="Q311">
        <v>5</v>
      </c>
      <c r="R311" t="s">
        <v>27</v>
      </c>
      <c r="S311" t="s">
        <v>28</v>
      </c>
      <c r="T311" t="b">
        <f t="shared" si="40"/>
        <v>0</v>
      </c>
      <c r="U311" t="str">
        <f t="shared" si="41"/>
        <v>Employee_0310</v>
      </c>
      <c r="V311" t="str">
        <f t="shared" si="42"/>
        <v>Male</v>
      </c>
      <c r="W311" t="str">
        <f t="shared" si="43"/>
        <v>Finance</v>
      </c>
      <c r="X311" t="str">
        <f t="shared" si="44"/>
        <v>Mumbai</v>
      </c>
      <c r="Y311" t="str">
        <f t="shared" si="45"/>
        <v>Valid</v>
      </c>
      <c r="Z311" t="str">
        <f t="shared" si="46"/>
        <v>Valid</v>
      </c>
      <c r="AA311" t="str">
        <f t="shared" si="47"/>
        <v>Valid</v>
      </c>
      <c r="AB311" s="9" t="str">
        <f t="shared" si="48"/>
        <v>Valid</v>
      </c>
      <c r="AC311" s="9" t="str">
        <f t="shared" si="49"/>
        <v>Valid</v>
      </c>
      <c r="AD311" s="9" t="str">
        <f>IF(AND(Y311="Valid",Z311="Valid",AA311="Valid",AB311="Valid",COUNTIF($A$2:A311,A311)=1),"Include","Exclude")</f>
        <v>Include</v>
      </c>
    </row>
    <row r="312" spans="1:30" x14ac:dyDescent="0.35">
      <c r="A312" t="s">
        <v>672</v>
      </c>
      <c r="B312" t="s">
        <v>673</v>
      </c>
      <c r="C312" t="s">
        <v>21</v>
      </c>
      <c r="D312">
        <v>55</v>
      </c>
      <c r="E312" t="s">
        <v>55</v>
      </c>
      <c r="F312" t="s">
        <v>48</v>
      </c>
      <c r="G312" t="s">
        <v>24</v>
      </c>
      <c r="H312" t="s">
        <v>52</v>
      </c>
      <c r="I312">
        <v>14</v>
      </c>
      <c r="J312">
        <v>54233</v>
      </c>
      <c r="K312" t="s">
        <v>45</v>
      </c>
      <c r="L312">
        <v>7</v>
      </c>
      <c r="M312">
        <v>37</v>
      </c>
      <c r="N312">
        <v>7</v>
      </c>
      <c r="O312" t="s">
        <v>28</v>
      </c>
      <c r="P312" t="s">
        <v>28</v>
      </c>
      <c r="Q312">
        <v>2</v>
      </c>
      <c r="R312" t="s">
        <v>27</v>
      </c>
      <c r="S312" t="s">
        <v>27</v>
      </c>
      <c r="T312" t="b">
        <f t="shared" si="40"/>
        <v>0</v>
      </c>
      <c r="U312" t="str">
        <f t="shared" si="41"/>
        <v>Employee_0311</v>
      </c>
      <c r="V312" t="str">
        <f t="shared" si="42"/>
        <v>Female</v>
      </c>
      <c r="W312" t="str">
        <f t="shared" si="43"/>
        <v>Customer Support</v>
      </c>
      <c r="X312" t="str">
        <f t="shared" si="44"/>
        <v>Mumbai</v>
      </c>
      <c r="Y312" t="str">
        <f t="shared" si="45"/>
        <v>Valid</v>
      </c>
      <c r="Z312" t="str">
        <f t="shared" si="46"/>
        <v>Valid</v>
      </c>
      <c r="AA312" t="str">
        <f t="shared" si="47"/>
        <v>Valid</v>
      </c>
      <c r="AB312" s="9" t="str">
        <f t="shared" si="48"/>
        <v>Valid</v>
      </c>
      <c r="AC312" s="9" t="str">
        <f t="shared" si="49"/>
        <v>Valid</v>
      </c>
      <c r="AD312" s="9" t="str">
        <f>IF(AND(Y312="Valid",Z312="Valid",AA312="Valid",AB312="Valid",COUNTIF($A$2:A312,A312)=1),"Include","Exclude")</f>
        <v>Include</v>
      </c>
    </row>
    <row r="313" spans="1:30" x14ac:dyDescent="0.35">
      <c r="A313" t="s">
        <v>674</v>
      </c>
      <c r="B313" t="s">
        <v>675</v>
      </c>
      <c r="C313" t="s">
        <v>31</v>
      </c>
      <c r="D313">
        <v>52</v>
      </c>
      <c r="E313" t="s">
        <v>55</v>
      </c>
      <c r="F313" t="s">
        <v>39</v>
      </c>
      <c r="G313" t="s">
        <v>24</v>
      </c>
      <c r="H313" t="s">
        <v>131</v>
      </c>
      <c r="I313">
        <v>14</v>
      </c>
      <c r="J313">
        <v>58367</v>
      </c>
      <c r="K313" t="s">
        <v>35</v>
      </c>
      <c r="L313">
        <v>3</v>
      </c>
      <c r="M313">
        <v>35</v>
      </c>
      <c r="N313">
        <v>6</v>
      </c>
      <c r="O313" t="s">
        <v>28</v>
      </c>
      <c r="P313" t="s">
        <v>28</v>
      </c>
      <c r="Q313">
        <v>3</v>
      </c>
      <c r="R313" t="s">
        <v>27</v>
      </c>
      <c r="S313" t="s">
        <v>27</v>
      </c>
      <c r="T313" t="b">
        <f t="shared" si="40"/>
        <v>0</v>
      </c>
      <c r="U313" t="str">
        <f t="shared" si="41"/>
        <v>Employee_0312</v>
      </c>
      <c r="V313" t="str">
        <f t="shared" si="42"/>
        <v>Male</v>
      </c>
      <c r="W313" t="str">
        <f t="shared" si="43"/>
        <v>Operations</v>
      </c>
      <c r="X313" t="str">
        <f t="shared" si="44"/>
        <v>Pune</v>
      </c>
      <c r="Y313" t="str">
        <f t="shared" si="45"/>
        <v>Valid</v>
      </c>
      <c r="Z313" t="str">
        <f t="shared" si="46"/>
        <v>Valid</v>
      </c>
      <c r="AA313" t="str">
        <f t="shared" si="47"/>
        <v>Valid</v>
      </c>
      <c r="AB313" s="9" t="str">
        <f t="shared" si="48"/>
        <v>Valid</v>
      </c>
      <c r="AC313" s="9" t="str">
        <f t="shared" si="49"/>
        <v>Valid</v>
      </c>
      <c r="AD313" s="9" t="str">
        <f>IF(AND(Y313="Valid",Z313="Valid",AA313="Valid",AB313="Valid",COUNTIF($A$2:A313,A313)=1),"Include","Exclude")</f>
        <v>Include</v>
      </c>
    </row>
    <row r="314" spans="1:30" x14ac:dyDescent="0.35">
      <c r="A314" t="s">
        <v>676</v>
      </c>
      <c r="B314" t="s">
        <v>677</v>
      </c>
      <c r="C314" t="s">
        <v>21</v>
      </c>
      <c r="D314">
        <v>48</v>
      </c>
      <c r="E314" t="s">
        <v>55</v>
      </c>
      <c r="F314" t="s">
        <v>64</v>
      </c>
      <c r="G314" t="s">
        <v>24</v>
      </c>
      <c r="H314" t="s">
        <v>131</v>
      </c>
      <c r="I314">
        <v>18</v>
      </c>
      <c r="J314">
        <v>69003</v>
      </c>
      <c r="K314" t="s">
        <v>45</v>
      </c>
      <c r="L314">
        <v>6</v>
      </c>
      <c r="M314">
        <v>36</v>
      </c>
      <c r="N314">
        <v>7</v>
      </c>
      <c r="O314" t="s">
        <v>27</v>
      </c>
      <c r="P314" t="s">
        <v>27</v>
      </c>
      <c r="Q314">
        <v>1</v>
      </c>
      <c r="R314" t="s">
        <v>27</v>
      </c>
      <c r="S314" t="s">
        <v>27</v>
      </c>
      <c r="T314" t="b">
        <f t="shared" si="40"/>
        <v>0</v>
      </c>
      <c r="U314" t="str">
        <f t="shared" si="41"/>
        <v>Employee_0313</v>
      </c>
      <c r="V314" t="str">
        <f t="shared" si="42"/>
        <v>Female</v>
      </c>
      <c r="W314" t="str">
        <f t="shared" si="43"/>
        <v>Marketing</v>
      </c>
      <c r="X314" t="str">
        <f t="shared" si="44"/>
        <v>Pune</v>
      </c>
      <c r="Y314" t="str">
        <f t="shared" si="45"/>
        <v>Valid</v>
      </c>
      <c r="Z314" t="str">
        <f t="shared" si="46"/>
        <v>Valid</v>
      </c>
      <c r="AA314" t="str">
        <f t="shared" si="47"/>
        <v>Valid</v>
      </c>
      <c r="AB314" s="9" t="str">
        <f t="shared" si="48"/>
        <v>Valid</v>
      </c>
      <c r="AC314" s="9" t="str">
        <f t="shared" si="49"/>
        <v>Valid</v>
      </c>
      <c r="AD314" s="9" t="str">
        <f>IF(AND(Y314="Valid",Z314="Valid",AA314="Valid",AB314="Valid",COUNTIF($A$2:A314,A314)=1),"Include","Exclude")</f>
        <v>Include</v>
      </c>
    </row>
    <row r="315" spans="1:30" x14ac:dyDescent="0.35">
      <c r="A315" t="s">
        <v>678</v>
      </c>
      <c r="B315" t="s">
        <v>679</v>
      </c>
      <c r="C315" t="s">
        <v>21</v>
      </c>
      <c r="D315">
        <v>43</v>
      </c>
      <c r="E315" t="s">
        <v>55</v>
      </c>
      <c r="F315" t="s">
        <v>23</v>
      </c>
      <c r="G315" t="s">
        <v>69</v>
      </c>
      <c r="H315" t="s">
        <v>52</v>
      </c>
      <c r="I315">
        <v>15</v>
      </c>
      <c r="J315">
        <v>71614</v>
      </c>
      <c r="K315" t="s">
        <v>45</v>
      </c>
      <c r="L315">
        <v>10</v>
      </c>
      <c r="M315">
        <v>18</v>
      </c>
      <c r="N315">
        <v>1</v>
      </c>
      <c r="O315" t="s">
        <v>27</v>
      </c>
      <c r="P315" t="s">
        <v>28</v>
      </c>
      <c r="Q315">
        <v>3</v>
      </c>
      <c r="R315" t="s">
        <v>27</v>
      </c>
      <c r="S315" t="s">
        <v>27</v>
      </c>
      <c r="T315" t="b">
        <f t="shared" si="40"/>
        <v>0</v>
      </c>
      <c r="U315" t="str">
        <f t="shared" si="41"/>
        <v>Employee_0314</v>
      </c>
      <c r="V315" t="str">
        <f t="shared" si="42"/>
        <v>Female</v>
      </c>
      <c r="W315" t="str">
        <f t="shared" si="43"/>
        <v>Finance</v>
      </c>
      <c r="X315" t="str">
        <f t="shared" si="44"/>
        <v>Mumbai</v>
      </c>
      <c r="Y315" t="str">
        <f t="shared" si="45"/>
        <v>Valid</v>
      </c>
      <c r="Z315" t="str">
        <f t="shared" si="46"/>
        <v>Valid</v>
      </c>
      <c r="AA315" t="str">
        <f t="shared" si="47"/>
        <v>Valid</v>
      </c>
      <c r="AB315" s="9" t="str">
        <f t="shared" si="48"/>
        <v>Valid</v>
      </c>
      <c r="AC315" s="9" t="str">
        <f t="shared" si="49"/>
        <v>Valid</v>
      </c>
      <c r="AD315" s="9" t="str">
        <f>IF(AND(Y315="Valid",Z315="Valid",AA315="Valid",AB315="Valid",COUNTIF($A$2:A315,A315)=1),"Include","Exclude")</f>
        <v>Include</v>
      </c>
    </row>
    <row r="316" spans="1:30" x14ac:dyDescent="0.35">
      <c r="A316" t="s">
        <v>680</v>
      </c>
      <c r="B316" t="s">
        <v>681</v>
      </c>
      <c r="C316" t="s">
        <v>31</v>
      </c>
      <c r="D316">
        <v>22</v>
      </c>
      <c r="E316" t="s">
        <v>38</v>
      </c>
      <c r="F316" t="s">
        <v>64</v>
      </c>
      <c r="G316" t="s">
        <v>24</v>
      </c>
      <c r="H316" t="s">
        <v>70</v>
      </c>
      <c r="I316">
        <v>1</v>
      </c>
      <c r="J316">
        <v>64029</v>
      </c>
      <c r="K316" t="s">
        <v>35</v>
      </c>
      <c r="L316">
        <v>9</v>
      </c>
      <c r="M316">
        <v>34</v>
      </c>
      <c r="N316">
        <v>3</v>
      </c>
      <c r="O316" t="s">
        <v>27</v>
      </c>
      <c r="P316" t="s">
        <v>28</v>
      </c>
      <c r="Q316">
        <v>1</v>
      </c>
      <c r="R316" t="s">
        <v>28</v>
      </c>
      <c r="S316" t="s">
        <v>27</v>
      </c>
      <c r="T316" t="b">
        <f t="shared" si="40"/>
        <v>0</v>
      </c>
      <c r="U316" t="str">
        <f t="shared" si="41"/>
        <v>Employee_0315</v>
      </c>
      <c r="V316" t="str">
        <f t="shared" si="42"/>
        <v>Male</v>
      </c>
      <c r="W316" t="str">
        <f t="shared" si="43"/>
        <v>Marketing</v>
      </c>
      <c r="X316" t="str">
        <f t="shared" si="44"/>
        <v>Bangalore</v>
      </c>
      <c r="Y316" t="str">
        <f t="shared" si="45"/>
        <v>Valid</v>
      </c>
      <c r="Z316" t="str">
        <f t="shared" si="46"/>
        <v>Valid</v>
      </c>
      <c r="AA316" t="str">
        <f t="shared" si="47"/>
        <v>Valid</v>
      </c>
      <c r="AB316" s="9" t="str">
        <f t="shared" si="48"/>
        <v>Valid</v>
      </c>
      <c r="AC316" s="9" t="str">
        <f t="shared" si="49"/>
        <v>Valid</v>
      </c>
      <c r="AD316" s="9" t="str">
        <f>IF(AND(Y316="Valid",Z316="Valid",AA316="Valid",AB316="Valid",COUNTIF($A$2:A316,A316)=1),"Include","Exclude")</f>
        <v>Include</v>
      </c>
    </row>
    <row r="317" spans="1:30" x14ac:dyDescent="0.35">
      <c r="A317" t="s">
        <v>682</v>
      </c>
      <c r="B317" t="s">
        <v>683</v>
      </c>
      <c r="C317" t="s">
        <v>31</v>
      </c>
      <c r="D317">
        <v>43</v>
      </c>
      <c r="E317" t="s">
        <v>55</v>
      </c>
      <c r="F317" t="s">
        <v>23</v>
      </c>
      <c r="G317" t="s">
        <v>24</v>
      </c>
      <c r="H317" t="s">
        <v>49</v>
      </c>
      <c r="I317">
        <v>16</v>
      </c>
      <c r="J317">
        <v>78449</v>
      </c>
      <c r="K317" t="s">
        <v>45</v>
      </c>
      <c r="L317">
        <v>3</v>
      </c>
      <c r="M317">
        <v>33</v>
      </c>
      <c r="N317">
        <v>5</v>
      </c>
      <c r="O317" t="s">
        <v>27</v>
      </c>
      <c r="P317" t="s">
        <v>28</v>
      </c>
      <c r="Q317">
        <v>1</v>
      </c>
      <c r="R317" t="s">
        <v>28</v>
      </c>
      <c r="S317" t="s">
        <v>27</v>
      </c>
      <c r="T317" t="b">
        <f t="shared" si="40"/>
        <v>0</v>
      </c>
      <c r="U317" t="str">
        <f t="shared" si="41"/>
        <v>Employee_0316</v>
      </c>
      <c r="V317" t="str">
        <f t="shared" si="42"/>
        <v>Male</v>
      </c>
      <c r="W317" t="str">
        <f t="shared" si="43"/>
        <v>Finance</v>
      </c>
      <c r="X317" t="str">
        <f t="shared" si="44"/>
        <v>Delhi</v>
      </c>
      <c r="Y317" t="str">
        <f t="shared" si="45"/>
        <v>Valid</v>
      </c>
      <c r="Z317" t="str">
        <f t="shared" si="46"/>
        <v>Valid</v>
      </c>
      <c r="AA317" t="str">
        <f t="shared" si="47"/>
        <v>Valid</v>
      </c>
      <c r="AB317" s="9" t="str">
        <f t="shared" si="48"/>
        <v>Valid</v>
      </c>
      <c r="AC317" s="9" t="str">
        <f t="shared" si="49"/>
        <v>Valid</v>
      </c>
      <c r="AD317" s="9" t="str">
        <f>IF(AND(Y317="Valid",Z317="Valid",AA317="Valid",AB317="Valid",COUNTIF($A$2:A317,A317)=1),"Include","Exclude")</f>
        <v>Include</v>
      </c>
    </row>
    <row r="318" spans="1:30" x14ac:dyDescent="0.35">
      <c r="A318" t="s">
        <v>684</v>
      </c>
      <c r="B318" t="s">
        <v>685</v>
      </c>
      <c r="C318" t="s">
        <v>31</v>
      </c>
      <c r="D318">
        <v>45</v>
      </c>
      <c r="E318" t="s">
        <v>55</v>
      </c>
      <c r="F318" t="s">
        <v>39</v>
      </c>
      <c r="G318" t="s">
        <v>24</v>
      </c>
      <c r="H318" t="s">
        <v>34</v>
      </c>
      <c r="I318">
        <v>12</v>
      </c>
      <c r="J318">
        <v>64465</v>
      </c>
      <c r="K318" t="s">
        <v>35</v>
      </c>
      <c r="L318">
        <v>6</v>
      </c>
      <c r="M318">
        <v>7</v>
      </c>
      <c r="N318">
        <v>1</v>
      </c>
      <c r="O318" t="s">
        <v>27</v>
      </c>
      <c r="P318" t="s">
        <v>28</v>
      </c>
      <c r="Q318">
        <v>4</v>
      </c>
      <c r="R318" t="s">
        <v>28</v>
      </c>
      <c r="S318" t="s">
        <v>27</v>
      </c>
      <c r="T318" t="b">
        <f t="shared" si="40"/>
        <v>0</v>
      </c>
      <c r="U318" t="str">
        <f t="shared" si="41"/>
        <v>Employee_0317</v>
      </c>
      <c r="V318" t="str">
        <f t="shared" si="42"/>
        <v>Male</v>
      </c>
      <c r="W318" t="str">
        <f t="shared" si="43"/>
        <v>Operations</v>
      </c>
      <c r="X318" t="str">
        <f t="shared" si="44"/>
        <v>Gurgaon</v>
      </c>
      <c r="Y318" t="str">
        <f t="shared" si="45"/>
        <v>Valid</v>
      </c>
      <c r="Z318" t="str">
        <f t="shared" si="46"/>
        <v>Valid</v>
      </c>
      <c r="AA318" t="str">
        <f t="shared" si="47"/>
        <v>Valid</v>
      </c>
      <c r="AB318" s="9" t="str">
        <f t="shared" si="48"/>
        <v>Valid</v>
      </c>
      <c r="AC318" s="9" t="str">
        <f t="shared" si="49"/>
        <v>Valid</v>
      </c>
      <c r="AD318" s="9" t="str">
        <f>IF(AND(Y318="Valid",Z318="Valid",AA318="Valid",AB318="Valid",COUNTIF($A$2:A318,A318)=1),"Include","Exclude")</f>
        <v>Include</v>
      </c>
    </row>
    <row r="319" spans="1:30" x14ac:dyDescent="0.35">
      <c r="A319" t="s">
        <v>686</v>
      </c>
      <c r="B319" t="s">
        <v>687</v>
      </c>
      <c r="C319" t="s">
        <v>21</v>
      </c>
      <c r="D319">
        <v>22</v>
      </c>
      <c r="E319" t="s">
        <v>38</v>
      </c>
      <c r="F319" t="s">
        <v>48</v>
      </c>
      <c r="G319" t="s">
        <v>24</v>
      </c>
      <c r="H319" t="s">
        <v>49</v>
      </c>
      <c r="I319">
        <v>1</v>
      </c>
      <c r="J319">
        <v>51353</v>
      </c>
      <c r="K319" t="s">
        <v>40</v>
      </c>
      <c r="L319">
        <v>8</v>
      </c>
      <c r="M319">
        <v>34</v>
      </c>
      <c r="N319">
        <v>5</v>
      </c>
      <c r="O319" t="s">
        <v>28</v>
      </c>
      <c r="P319" t="s">
        <v>27</v>
      </c>
      <c r="Q319">
        <v>5</v>
      </c>
      <c r="R319" t="s">
        <v>27</v>
      </c>
      <c r="S319" t="s">
        <v>27</v>
      </c>
      <c r="T319" t="b">
        <f t="shared" si="40"/>
        <v>0</v>
      </c>
      <c r="U319" t="str">
        <f t="shared" si="41"/>
        <v>Employee_0318</v>
      </c>
      <c r="V319" t="str">
        <f t="shared" si="42"/>
        <v>Female</v>
      </c>
      <c r="W319" t="str">
        <f t="shared" si="43"/>
        <v>Customer Support</v>
      </c>
      <c r="X319" t="str">
        <f t="shared" si="44"/>
        <v>Delhi</v>
      </c>
      <c r="Y319" t="str">
        <f t="shared" si="45"/>
        <v>Valid</v>
      </c>
      <c r="Z319" t="str">
        <f t="shared" si="46"/>
        <v>Valid</v>
      </c>
      <c r="AA319" t="str">
        <f t="shared" si="47"/>
        <v>Valid</v>
      </c>
      <c r="AB319" s="9" t="str">
        <f t="shared" si="48"/>
        <v>Valid</v>
      </c>
      <c r="AC319" s="9" t="str">
        <f t="shared" si="49"/>
        <v>Valid</v>
      </c>
      <c r="AD319" s="9" t="str">
        <f>IF(AND(Y319="Valid",Z319="Valid",AA319="Valid",AB319="Valid",COUNTIF($A$2:A319,A319)=1),"Include","Exclude")</f>
        <v>Include</v>
      </c>
    </row>
    <row r="320" spans="1:30" x14ac:dyDescent="0.35">
      <c r="A320" t="s">
        <v>688</v>
      </c>
      <c r="B320" t="s">
        <v>689</v>
      </c>
      <c r="C320" t="s">
        <v>21</v>
      </c>
      <c r="D320">
        <v>49</v>
      </c>
      <c r="E320" t="s">
        <v>22</v>
      </c>
      <c r="F320" t="s">
        <v>39</v>
      </c>
      <c r="G320" t="s">
        <v>24</v>
      </c>
      <c r="H320" t="s">
        <v>52</v>
      </c>
      <c r="I320">
        <v>19</v>
      </c>
      <c r="J320">
        <v>62217</v>
      </c>
      <c r="K320" t="s">
        <v>35</v>
      </c>
      <c r="L320">
        <v>10</v>
      </c>
      <c r="M320">
        <v>42</v>
      </c>
      <c r="N320">
        <v>3</v>
      </c>
      <c r="O320" t="s">
        <v>27</v>
      </c>
      <c r="P320" t="s">
        <v>28</v>
      </c>
      <c r="Q320">
        <v>1</v>
      </c>
      <c r="R320" t="s">
        <v>28</v>
      </c>
      <c r="S320" t="s">
        <v>27</v>
      </c>
      <c r="T320" t="b">
        <f t="shared" si="40"/>
        <v>0</v>
      </c>
      <c r="U320" t="str">
        <f t="shared" si="41"/>
        <v>Employee_0319</v>
      </c>
      <c r="V320" t="str">
        <f t="shared" si="42"/>
        <v>Female</v>
      </c>
      <c r="W320" t="str">
        <f t="shared" si="43"/>
        <v>Operations</v>
      </c>
      <c r="X320" t="str">
        <f t="shared" si="44"/>
        <v>Mumbai</v>
      </c>
      <c r="Y320" t="str">
        <f t="shared" si="45"/>
        <v>Valid</v>
      </c>
      <c r="Z320" t="str">
        <f t="shared" si="46"/>
        <v>Valid</v>
      </c>
      <c r="AA320" t="str">
        <f t="shared" si="47"/>
        <v>Valid</v>
      </c>
      <c r="AB320" s="9" t="str">
        <f t="shared" si="48"/>
        <v>Valid</v>
      </c>
      <c r="AC320" s="9" t="str">
        <f t="shared" si="49"/>
        <v>Valid</v>
      </c>
      <c r="AD320" s="9" t="str">
        <f>IF(AND(Y320="Valid",Z320="Valid",AA320="Valid",AB320="Valid",COUNTIF($A$2:A320,A320)=1),"Include","Exclude")</f>
        <v>Include</v>
      </c>
    </row>
    <row r="321" spans="1:30" x14ac:dyDescent="0.35">
      <c r="A321" t="s">
        <v>690</v>
      </c>
      <c r="B321" t="s">
        <v>691</v>
      </c>
      <c r="C321" t="s">
        <v>21</v>
      </c>
      <c r="D321">
        <v>53</v>
      </c>
      <c r="E321" t="s">
        <v>55</v>
      </c>
      <c r="F321" t="s">
        <v>48</v>
      </c>
      <c r="G321" t="s">
        <v>24</v>
      </c>
      <c r="H321" t="s">
        <v>61</v>
      </c>
      <c r="I321">
        <v>27</v>
      </c>
      <c r="J321">
        <v>56205</v>
      </c>
      <c r="K321" t="s">
        <v>45</v>
      </c>
      <c r="L321">
        <v>3</v>
      </c>
      <c r="M321">
        <v>37</v>
      </c>
      <c r="N321">
        <v>6</v>
      </c>
      <c r="O321" t="s">
        <v>28</v>
      </c>
      <c r="P321" t="s">
        <v>28</v>
      </c>
      <c r="Q321">
        <v>3</v>
      </c>
      <c r="R321" t="s">
        <v>28</v>
      </c>
      <c r="S321" t="s">
        <v>28</v>
      </c>
      <c r="T321" t="b">
        <f t="shared" si="40"/>
        <v>0</v>
      </c>
      <c r="U321" t="str">
        <f t="shared" si="41"/>
        <v>Employee_0320</v>
      </c>
      <c r="V321" t="str">
        <f t="shared" si="42"/>
        <v>Female</v>
      </c>
      <c r="W321" t="str">
        <f t="shared" si="43"/>
        <v>Customer Support</v>
      </c>
      <c r="X321" t="str">
        <f t="shared" si="44"/>
        <v>Noida</v>
      </c>
      <c r="Y321" t="str">
        <f t="shared" si="45"/>
        <v>Valid</v>
      </c>
      <c r="Z321" t="str">
        <f t="shared" si="46"/>
        <v>Valid</v>
      </c>
      <c r="AA321" t="str">
        <f t="shared" si="47"/>
        <v>Valid</v>
      </c>
      <c r="AB321" s="9" t="str">
        <f t="shared" si="48"/>
        <v>Valid</v>
      </c>
      <c r="AC321" s="9" t="str">
        <f t="shared" si="49"/>
        <v>Valid</v>
      </c>
      <c r="AD321" s="9" t="str">
        <f>IF(AND(Y321="Valid",Z321="Valid",AA321="Valid",AB321="Valid",COUNTIF($A$2:A321,A321)=1),"Include","Exclude")</f>
        <v>Include</v>
      </c>
    </row>
    <row r="322" spans="1:30" hidden="1" x14ac:dyDescent="0.35">
      <c r="A322" t="s">
        <v>692</v>
      </c>
      <c r="B322" t="s">
        <v>693</v>
      </c>
      <c r="C322" t="s">
        <v>31</v>
      </c>
      <c r="D322">
        <v>52</v>
      </c>
      <c r="E322" t="s">
        <v>55</v>
      </c>
      <c r="F322" t="s">
        <v>39</v>
      </c>
      <c r="G322" t="s">
        <v>24</v>
      </c>
      <c r="H322" t="s">
        <v>694</v>
      </c>
      <c r="I322">
        <v>-2</v>
      </c>
      <c r="J322">
        <v>56761</v>
      </c>
      <c r="K322" t="s">
        <v>26</v>
      </c>
      <c r="L322">
        <v>7</v>
      </c>
      <c r="M322">
        <v>29</v>
      </c>
      <c r="N322">
        <v>1</v>
      </c>
      <c r="O322" t="s">
        <v>28</v>
      </c>
      <c r="P322" t="s">
        <v>28</v>
      </c>
      <c r="Q322">
        <v>5</v>
      </c>
      <c r="R322" t="s">
        <v>27</v>
      </c>
      <c r="S322" t="s">
        <v>27</v>
      </c>
      <c r="T322" t="b">
        <f t="shared" ref="T322:T385" si="50">COUNTIF($A$2:$A$503,A322)&gt;1</f>
        <v>0</v>
      </c>
      <c r="U322" t="str">
        <f t="shared" ref="U322:U385" si="51">TRIM(B322)</f>
        <v>Employee_0321</v>
      </c>
      <c r="V322" t="str">
        <f t="shared" ref="V322:V385" si="52">PROPER(TRIM(C322))</f>
        <v>Male</v>
      </c>
      <c r="W322" t="str">
        <f t="shared" ref="W322:W385" si="53">PROPER(TRIM(F322))</f>
        <v>Operations</v>
      </c>
      <c r="X322" t="str">
        <f t="shared" ref="X322:X385" si="54">PROPER(TRIM(H322))</f>
        <v>Delhi</v>
      </c>
      <c r="Y322" t="str">
        <f t="shared" ref="Y322:Y385" si="55">IF(J322&lt;=0,"Check","Valid")</f>
        <v>Valid</v>
      </c>
      <c r="Z322" t="str">
        <f t="shared" ref="Z322:Z385" si="56">IF(AND(L322&gt;=1,L322&lt;=10),"Valid","Check")</f>
        <v>Valid</v>
      </c>
      <c r="AA322" t="str">
        <f t="shared" ref="AA322:AA385" si="57">IF(AND(M322&gt;=0,M322&lt;=200),"Valid","Check")</f>
        <v>Valid</v>
      </c>
      <c r="AB322" s="9" t="str">
        <f t="shared" ref="AB322:AB385" si="58">IF(AND(I322&gt;=0,I322&lt;=50),"Valid","Check")</f>
        <v>Check</v>
      </c>
      <c r="AC322" s="9" t="str">
        <f t="shared" ref="AC322:AC385" si="59">IF(OR(T322=TRUE,Y322="Check",Z322="Check",AA322="Check",AB322="Check"),"Check","Valid")</f>
        <v>Check</v>
      </c>
      <c r="AD322" s="9" t="str">
        <f>IF(AND(Y322="Valid",Z322="Valid",AA322="Valid",AB322="Valid",COUNTIF($A$2:A322,A322)=1),"Include","Exclude")</f>
        <v>Exclude</v>
      </c>
    </row>
    <row r="323" spans="1:30" x14ac:dyDescent="0.35">
      <c r="A323" t="s">
        <v>695</v>
      </c>
      <c r="B323" t="s">
        <v>696</v>
      </c>
      <c r="C323" t="s">
        <v>31</v>
      </c>
      <c r="D323">
        <v>26</v>
      </c>
      <c r="E323" t="s">
        <v>38</v>
      </c>
      <c r="F323" t="s">
        <v>39</v>
      </c>
      <c r="G323" t="s">
        <v>24</v>
      </c>
      <c r="H323" t="s">
        <v>49</v>
      </c>
      <c r="I323">
        <v>3</v>
      </c>
      <c r="J323">
        <v>62151</v>
      </c>
      <c r="K323" t="s">
        <v>45</v>
      </c>
      <c r="L323">
        <v>10</v>
      </c>
      <c r="M323">
        <v>8</v>
      </c>
      <c r="N323">
        <v>3</v>
      </c>
      <c r="O323" t="s">
        <v>28</v>
      </c>
      <c r="P323" t="s">
        <v>28</v>
      </c>
      <c r="Q323">
        <v>1</v>
      </c>
      <c r="R323" t="s">
        <v>28</v>
      </c>
      <c r="S323" t="s">
        <v>27</v>
      </c>
      <c r="T323" t="b">
        <f t="shared" si="50"/>
        <v>0</v>
      </c>
      <c r="U323" t="str">
        <f t="shared" si="51"/>
        <v>Employee_0322</v>
      </c>
      <c r="V323" t="str">
        <f t="shared" si="52"/>
        <v>Male</v>
      </c>
      <c r="W323" t="str">
        <f t="shared" si="53"/>
        <v>Operations</v>
      </c>
      <c r="X323" t="str">
        <f t="shared" si="54"/>
        <v>Delhi</v>
      </c>
      <c r="Y323" t="str">
        <f t="shared" si="55"/>
        <v>Valid</v>
      </c>
      <c r="Z323" t="str">
        <f t="shared" si="56"/>
        <v>Valid</v>
      </c>
      <c r="AA323" t="str">
        <f t="shared" si="57"/>
        <v>Valid</v>
      </c>
      <c r="AB323" s="9" t="str">
        <f t="shared" si="58"/>
        <v>Valid</v>
      </c>
      <c r="AC323" s="9" t="str">
        <f t="shared" si="59"/>
        <v>Valid</v>
      </c>
      <c r="AD323" s="9" t="str">
        <f>IF(AND(Y323="Valid",Z323="Valid",AA323="Valid",AB323="Valid",COUNTIF($A$2:A323,A323)=1),"Include","Exclude")</f>
        <v>Include</v>
      </c>
    </row>
    <row r="324" spans="1:30" x14ac:dyDescent="0.35">
      <c r="A324" t="s">
        <v>697</v>
      </c>
      <c r="B324" t="s">
        <v>698</v>
      </c>
      <c r="C324" t="s">
        <v>21</v>
      </c>
      <c r="D324">
        <v>21</v>
      </c>
      <c r="E324" t="s">
        <v>38</v>
      </c>
      <c r="F324" t="s">
        <v>60</v>
      </c>
      <c r="G324" t="s">
        <v>69</v>
      </c>
      <c r="H324" t="s">
        <v>25</v>
      </c>
      <c r="I324">
        <v>0</v>
      </c>
      <c r="J324">
        <v>63922</v>
      </c>
      <c r="K324" t="s">
        <v>45</v>
      </c>
      <c r="L324">
        <v>5</v>
      </c>
      <c r="M324">
        <v>53</v>
      </c>
      <c r="N324">
        <v>5</v>
      </c>
      <c r="O324" t="s">
        <v>27</v>
      </c>
      <c r="P324" t="s">
        <v>28</v>
      </c>
      <c r="Q324">
        <v>2</v>
      </c>
      <c r="R324" t="s">
        <v>28</v>
      </c>
      <c r="S324" t="s">
        <v>27</v>
      </c>
      <c r="T324" t="b">
        <f t="shared" si="50"/>
        <v>0</v>
      </c>
      <c r="U324" t="str">
        <f t="shared" si="51"/>
        <v>Employee_0323</v>
      </c>
      <c r="V324" t="str">
        <f t="shared" si="52"/>
        <v>Female</v>
      </c>
      <c r="W324" t="str">
        <f t="shared" si="53"/>
        <v>Hr</v>
      </c>
      <c r="X324" t="str">
        <f t="shared" si="54"/>
        <v>Hyderabad</v>
      </c>
      <c r="Y324" t="str">
        <f t="shared" si="55"/>
        <v>Valid</v>
      </c>
      <c r="Z324" t="str">
        <f t="shared" si="56"/>
        <v>Valid</v>
      </c>
      <c r="AA324" t="str">
        <f t="shared" si="57"/>
        <v>Valid</v>
      </c>
      <c r="AB324" s="9" t="str">
        <f t="shared" si="58"/>
        <v>Valid</v>
      </c>
      <c r="AC324" s="9" t="str">
        <f t="shared" si="59"/>
        <v>Valid</v>
      </c>
      <c r="AD324" s="9" t="str">
        <f>IF(AND(Y324="Valid",Z324="Valid",AA324="Valid",AB324="Valid",COUNTIF($A$2:A324,A324)=1),"Include","Exclude")</f>
        <v>Include</v>
      </c>
    </row>
    <row r="325" spans="1:30" x14ac:dyDescent="0.35">
      <c r="A325" t="s">
        <v>699</v>
      </c>
      <c r="B325" t="s">
        <v>700</v>
      </c>
      <c r="C325" t="s">
        <v>21</v>
      </c>
      <c r="D325">
        <v>53</v>
      </c>
      <c r="E325" t="s">
        <v>38</v>
      </c>
      <c r="F325" t="s">
        <v>23</v>
      </c>
      <c r="G325" t="s">
        <v>24</v>
      </c>
      <c r="H325" t="s">
        <v>25</v>
      </c>
      <c r="I325">
        <v>24</v>
      </c>
      <c r="J325">
        <v>82000</v>
      </c>
      <c r="K325" t="s">
        <v>45</v>
      </c>
      <c r="L325">
        <v>10</v>
      </c>
      <c r="M325">
        <v>37</v>
      </c>
      <c r="N325">
        <v>4</v>
      </c>
      <c r="O325" t="s">
        <v>27</v>
      </c>
      <c r="P325" t="s">
        <v>28</v>
      </c>
      <c r="Q325">
        <v>3</v>
      </c>
      <c r="R325" t="s">
        <v>27</v>
      </c>
      <c r="S325" t="s">
        <v>27</v>
      </c>
      <c r="T325" t="b">
        <f t="shared" si="50"/>
        <v>0</v>
      </c>
      <c r="U325" t="str">
        <f t="shared" si="51"/>
        <v>Employee_0324</v>
      </c>
      <c r="V325" t="str">
        <f t="shared" si="52"/>
        <v>Female</v>
      </c>
      <c r="W325" t="str">
        <f t="shared" si="53"/>
        <v>Finance</v>
      </c>
      <c r="X325" t="str">
        <f t="shared" si="54"/>
        <v>Hyderabad</v>
      </c>
      <c r="Y325" t="str">
        <f t="shared" si="55"/>
        <v>Valid</v>
      </c>
      <c r="Z325" t="str">
        <f t="shared" si="56"/>
        <v>Valid</v>
      </c>
      <c r="AA325" t="str">
        <f t="shared" si="57"/>
        <v>Valid</v>
      </c>
      <c r="AB325" s="9" t="str">
        <f t="shared" si="58"/>
        <v>Valid</v>
      </c>
      <c r="AC325" s="9" t="str">
        <f t="shared" si="59"/>
        <v>Valid</v>
      </c>
      <c r="AD325" s="9" t="str">
        <f>IF(AND(Y325="Valid",Z325="Valid",AA325="Valid",AB325="Valid",COUNTIF($A$2:A325,A325)=1),"Include","Exclude")</f>
        <v>Include</v>
      </c>
    </row>
    <row r="326" spans="1:30" x14ac:dyDescent="0.35">
      <c r="A326" t="s">
        <v>701</v>
      </c>
      <c r="B326" t="s">
        <v>702</v>
      </c>
      <c r="C326" t="s">
        <v>21</v>
      </c>
      <c r="D326">
        <v>33</v>
      </c>
      <c r="E326" t="s">
        <v>38</v>
      </c>
      <c r="F326" t="s">
        <v>64</v>
      </c>
      <c r="G326" t="s">
        <v>24</v>
      </c>
      <c r="H326" t="s">
        <v>25</v>
      </c>
      <c r="I326">
        <v>6</v>
      </c>
      <c r="J326">
        <v>69683</v>
      </c>
      <c r="K326" t="s">
        <v>26</v>
      </c>
      <c r="L326">
        <v>10</v>
      </c>
      <c r="M326">
        <v>28</v>
      </c>
      <c r="N326">
        <v>3</v>
      </c>
      <c r="O326" t="s">
        <v>28</v>
      </c>
      <c r="P326" t="s">
        <v>27</v>
      </c>
      <c r="Q326">
        <v>4</v>
      </c>
      <c r="R326" t="s">
        <v>28</v>
      </c>
      <c r="S326" t="s">
        <v>27</v>
      </c>
      <c r="T326" t="b">
        <f t="shared" si="50"/>
        <v>0</v>
      </c>
      <c r="U326" t="str">
        <f t="shared" si="51"/>
        <v>Employee_0325</v>
      </c>
      <c r="V326" t="str">
        <f t="shared" si="52"/>
        <v>Female</v>
      </c>
      <c r="W326" t="str">
        <f t="shared" si="53"/>
        <v>Marketing</v>
      </c>
      <c r="X326" t="str">
        <f t="shared" si="54"/>
        <v>Hyderabad</v>
      </c>
      <c r="Y326" t="str">
        <f t="shared" si="55"/>
        <v>Valid</v>
      </c>
      <c r="Z326" t="str">
        <f t="shared" si="56"/>
        <v>Valid</v>
      </c>
      <c r="AA326" t="str">
        <f t="shared" si="57"/>
        <v>Valid</v>
      </c>
      <c r="AB326" s="9" t="str">
        <f t="shared" si="58"/>
        <v>Valid</v>
      </c>
      <c r="AC326" s="9" t="str">
        <f t="shared" si="59"/>
        <v>Valid</v>
      </c>
      <c r="AD326" s="9" t="str">
        <f>IF(AND(Y326="Valid",Z326="Valid",AA326="Valid",AB326="Valid",COUNTIF($A$2:A326,A326)=1),"Include","Exclude")</f>
        <v>Include</v>
      </c>
    </row>
    <row r="327" spans="1:30" x14ac:dyDescent="0.35">
      <c r="A327" t="s">
        <v>703</v>
      </c>
      <c r="B327" t="s">
        <v>704</v>
      </c>
      <c r="C327" t="s">
        <v>31</v>
      </c>
      <c r="D327">
        <v>50</v>
      </c>
      <c r="E327" t="s">
        <v>38</v>
      </c>
      <c r="F327" t="s">
        <v>60</v>
      </c>
      <c r="G327" t="s">
        <v>24</v>
      </c>
      <c r="H327" t="s">
        <v>131</v>
      </c>
      <c r="I327">
        <v>12</v>
      </c>
      <c r="J327">
        <v>55290</v>
      </c>
      <c r="K327" t="s">
        <v>35</v>
      </c>
      <c r="L327">
        <v>8</v>
      </c>
      <c r="M327">
        <v>12</v>
      </c>
      <c r="N327">
        <v>6</v>
      </c>
      <c r="O327" t="s">
        <v>28</v>
      </c>
      <c r="P327" t="s">
        <v>28</v>
      </c>
      <c r="Q327">
        <v>4</v>
      </c>
      <c r="R327" t="s">
        <v>27</v>
      </c>
      <c r="S327" t="s">
        <v>27</v>
      </c>
      <c r="T327" t="b">
        <f t="shared" si="50"/>
        <v>0</v>
      </c>
      <c r="U327" t="str">
        <f t="shared" si="51"/>
        <v>Employee_0326</v>
      </c>
      <c r="V327" t="str">
        <f t="shared" si="52"/>
        <v>Male</v>
      </c>
      <c r="W327" t="str">
        <f t="shared" si="53"/>
        <v>Hr</v>
      </c>
      <c r="X327" t="str">
        <f t="shared" si="54"/>
        <v>Pune</v>
      </c>
      <c r="Y327" t="str">
        <f t="shared" si="55"/>
        <v>Valid</v>
      </c>
      <c r="Z327" t="str">
        <f t="shared" si="56"/>
        <v>Valid</v>
      </c>
      <c r="AA327" t="str">
        <f t="shared" si="57"/>
        <v>Valid</v>
      </c>
      <c r="AB327" s="9" t="str">
        <f t="shared" si="58"/>
        <v>Valid</v>
      </c>
      <c r="AC327" s="9" t="str">
        <f t="shared" si="59"/>
        <v>Valid</v>
      </c>
      <c r="AD327" s="9" t="str">
        <f>IF(AND(Y327="Valid",Z327="Valid",AA327="Valid",AB327="Valid",COUNTIF($A$2:A327,A327)=1),"Include","Exclude")</f>
        <v>Include</v>
      </c>
    </row>
    <row r="328" spans="1:30" x14ac:dyDescent="0.35">
      <c r="A328" t="s">
        <v>705</v>
      </c>
      <c r="B328" t="s">
        <v>706</v>
      </c>
      <c r="C328" t="s">
        <v>31</v>
      </c>
      <c r="D328">
        <v>40</v>
      </c>
      <c r="E328" t="s">
        <v>55</v>
      </c>
      <c r="F328" t="s">
        <v>23</v>
      </c>
      <c r="G328" t="s">
        <v>24</v>
      </c>
      <c r="H328" t="s">
        <v>25</v>
      </c>
      <c r="I328">
        <v>15</v>
      </c>
      <c r="J328">
        <v>64736</v>
      </c>
      <c r="K328" t="s">
        <v>45</v>
      </c>
      <c r="L328">
        <v>9</v>
      </c>
      <c r="M328">
        <v>24</v>
      </c>
      <c r="N328">
        <v>3</v>
      </c>
      <c r="O328" t="s">
        <v>27</v>
      </c>
      <c r="P328" t="s">
        <v>27</v>
      </c>
      <c r="Q328">
        <v>2</v>
      </c>
      <c r="R328" t="s">
        <v>27</v>
      </c>
      <c r="S328" t="s">
        <v>27</v>
      </c>
      <c r="T328" t="b">
        <f t="shared" si="50"/>
        <v>0</v>
      </c>
      <c r="U328" t="str">
        <f t="shared" si="51"/>
        <v>Employee_0327</v>
      </c>
      <c r="V328" t="str">
        <f t="shared" si="52"/>
        <v>Male</v>
      </c>
      <c r="W328" t="str">
        <f t="shared" si="53"/>
        <v>Finance</v>
      </c>
      <c r="X328" t="str">
        <f t="shared" si="54"/>
        <v>Hyderabad</v>
      </c>
      <c r="Y328" t="str">
        <f t="shared" si="55"/>
        <v>Valid</v>
      </c>
      <c r="Z328" t="str">
        <f t="shared" si="56"/>
        <v>Valid</v>
      </c>
      <c r="AA328" t="str">
        <f t="shared" si="57"/>
        <v>Valid</v>
      </c>
      <c r="AB328" s="9" t="str">
        <f t="shared" si="58"/>
        <v>Valid</v>
      </c>
      <c r="AC328" s="9" t="str">
        <f t="shared" si="59"/>
        <v>Valid</v>
      </c>
      <c r="AD328" s="9" t="str">
        <f>IF(AND(Y328="Valid",Z328="Valid",AA328="Valid",AB328="Valid",COUNTIF($A$2:A328,A328)=1),"Include","Exclude")</f>
        <v>Include</v>
      </c>
    </row>
    <row r="329" spans="1:30" x14ac:dyDescent="0.35">
      <c r="A329" t="s">
        <v>707</v>
      </c>
      <c r="B329" t="s">
        <v>708</v>
      </c>
      <c r="C329" t="s">
        <v>31</v>
      </c>
      <c r="D329">
        <v>44</v>
      </c>
      <c r="E329" t="s">
        <v>55</v>
      </c>
      <c r="F329" t="s">
        <v>48</v>
      </c>
      <c r="G329" t="s">
        <v>24</v>
      </c>
      <c r="H329" t="s">
        <v>25</v>
      </c>
      <c r="I329">
        <v>17</v>
      </c>
      <c r="J329">
        <v>57115</v>
      </c>
      <c r="K329" t="s">
        <v>26</v>
      </c>
      <c r="L329">
        <v>1</v>
      </c>
      <c r="M329">
        <v>36</v>
      </c>
      <c r="N329">
        <v>4</v>
      </c>
      <c r="O329" t="s">
        <v>28</v>
      </c>
      <c r="P329" t="s">
        <v>28</v>
      </c>
      <c r="Q329">
        <v>5</v>
      </c>
      <c r="R329" t="s">
        <v>28</v>
      </c>
      <c r="S329" t="s">
        <v>27</v>
      </c>
      <c r="T329" t="b">
        <f t="shared" si="50"/>
        <v>0</v>
      </c>
      <c r="U329" t="str">
        <f t="shared" si="51"/>
        <v>Employee_0328</v>
      </c>
      <c r="V329" t="str">
        <f t="shared" si="52"/>
        <v>Male</v>
      </c>
      <c r="W329" t="str">
        <f t="shared" si="53"/>
        <v>Customer Support</v>
      </c>
      <c r="X329" t="str">
        <f t="shared" si="54"/>
        <v>Hyderabad</v>
      </c>
      <c r="Y329" t="str">
        <f t="shared" si="55"/>
        <v>Valid</v>
      </c>
      <c r="Z329" t="str">
        <f t="shared" si="56"/>
        <v>Valid</v>
      </c>
      <c r="AA329" t="str">
        <f t="shared" si="57"/>
        <v>Valid</v>
      </c>
      <c r="AB329" s="9" t="str">
        <f t="shared" si="58"/>
        <v>Valid</v>
      </c>
      <c r="AC329" s="9" t="str">
        <f t="shared" si="59"/>
        <v>Valid</v>
      </c>
      <c r="AD329" s="9" t="str">
        <f>IF(AND(Y329="Valid",Z329="Valid",AA329="Valid",AB329="Valid",COUNTIF($A$2:A329,A329)=1),"Include","Exclude")</f>
        <v>Include</v>
      </c>
    </row>
    <row r="330" spans="1:30" x14ac:dyDescent="0.35">
      <c r="A330" t="s">
        <v>709</v>
      </c>
      <c r="B330" t="s">
        <v>710</v>
      </c>
      <c r="C330" t="s">
        <v>21</v>
      </c>
      <c r="D330">
        <v>54</v>
      </c>
      <c r="E330" t="s">
        <v>38</v>
      </c>
      <c r="F330" t="s">
        <v>39</v>
      </c>
      <c r="G330" t="s">
        <v>24</v>
      </c>
      <c r="H330" t="s">
        <v>49</v>
      </c>
      <c r="I330">
        <v>14</v>
      </c>
      <c r="J330">
        <v>71094</v>
      </c>
      <c r="K330" t="s">
        <v>45</v>
      </c>
      <c r="L330">
        <v>9</v>
      </c>
      <c r="M330">
        <v>33</v>
      </c>
      <c r="N330">
        <v>4</v>
      </c>
      <c r="O330" t="s">
        <v>27</v>
      </c>
      <c r="P330" t="s">
        <v>27</v>
      </c>
      <c r="Q330">
        <v>4</v>
      </c>
      <c r="R330" t="s">
        <v>27</v>
      </c>
      <c r="S330" t="s">
        <v>27</v>
      </c>
      <c r="T330" t="b">
        <f t="shared" si="50"/>
        <v>0</v>
      </c>
      <c r="U330" t="str">
        <f t="shared" si="51"/>
        <v>Employee_0329</v>
      </c>
      <c r="V330" t="str">
        <f t="shared" si="52"/>
        <v>Female</v>
      </c>
      <c r="W330" t="str">
        <f t="shared" si="53"/>
        <v>Operations</v>
      </c>
      <c r="X330" t="str">
        <f t="shared" si="54"/>
        <v>Delhi</v>
      </c>
      <c r="Y330" t="str">
        <f t="shared" si="55"/>
        <v>Valid</v>
      </c>
      <c r="Z330" t="str">
        <f t="shared" si="56"/>
        <v>Valid</v>
      </c>
      <c r="AA330" t="str">
        <f t="shared" si="57"/>
        <v>Valid</v>
      </c>
      <c r="AB330" s="9" t="str">
        <f t="shared" si="58"/>
        <v>Valid</v>
      </c>
      <c r="AC330" s="9" t="str">
        <f t="shared" si="59"/>
        <v>Valid</v>
      </c>
      <c r="AD330" s="9" t="str">
        <f>IF(AND(Y330="Valid",Z330="Valid",AA330="Valid",AB330="Valid",COUNTIF($A$2:A330,A330)=1),"Include","Exclude")</f>
        <v>Include</v>
      </c>
    </row>
    <row r="331" spans="1:30" x14ac:dyDescent="0.35">
      <c r="A331" t="s">
        <v>711</v>
      </c>
      <c r="B331" t="s">
        <v>712</v>
      </c>
      <c r="C331" t="s">
        <v>21</v>
      </c>
      <c r="D331">
        <v>27</v>
      </c>
      <c r="E331" t="s">
        <v>38</v>
      </c>
      <c r="F331" t="s">
        <v>60</v>
      </c>
      <c r="G331" t="s">
        <v>24</v>
      </c>
      <c r="H331" t="s">
        <v>131</v>
      </c>
      <c r="I331">
        <v>3</v>
      </c>
      <c r="J331">
        <v>48081</v>
      </c>
      <c r="K331" t="s">
        <v>26</v>
      </c>
      <c r="L331">
        <v>3</v>
      </c>
      <c r="M331">
        <v>31</v>
      </c>
      <c r="N331">
        <v>2</v>
      </c>
      <c r="O331" t="s">
        <v>27</v>
      </c>
      <c r="P331" t="s">
        <v>27</v>
      </c>
      <c r="Q331">
        <v>5</v>
      </c>
      <c r="R331" t="s">
        <v>28</v>
      </c>
      <c r="S331" t="s">
        <v>27</v>
      </c>
      <c r="T331" t="b">
        <f t="shared" si="50"/>
        <v>0</v>
      </c>
      <c r="U331" t="str">
        <f t="shared" si="51"/>
        <v>Employee_0330</v>
      </c>
      <c r="V331" t="str">
        <f t="shared" si="52"/>
        <v>Female</v>
      </c>
      <c r="W331" t="str">
        <f t="shared" si="53"/>
        <v>Hr</v>
      </c>
      <c r="X331" t="str">
        <f t="shared" si="54"/>
        <v>Pune</v>
      </c>
      <c r="Y331" t="str">
        <f t="shared" si="55"/>
        <v>Valid</v>
      </c>
      <c r="Z331" t="str">
        <f t="shared" si="56"/>
        <v>Valid</v>
      </c>
      <c r="AA331" t="str">
        <f t="shared" si="57"/>
        <v>Valid</v>
      </c>
      <c r="AB331" s="9" t="str">
        <f t="shared" si="58"/>
        <v>Valid</v>
      </c>
      <c r="AC331" s="9" t="str">
        <f t="shared" si="59"/>
        <v>Valid</v>
      </c>
      <c r="AD331" s="9" t="str">
        <f>IF(AND(Y331="Valid",Z331="Valid",AA331="Valid",AB331="Valid",COUNTIF($A$2:A331,A331)=1),"Include","Exclude")</f>
        <v>Include</v>
      </c>
    </row>
    <row r="332" spans="1:30" x14ac:dyDescent="0.35">
      <c r="A332" t="s">
        <v>713</v>
      </c>
      <c r="B332" t="s">
        <v>714</v>
      </c>
      <c r="C332" t="s">
        <v>31</v>
      </c>
      <c r="D332">
        <v>49</v>
      </c>
      <c r="E332" t="s">
        <v>55</v>
      </c>
      <c r="F332" t="s">
        <v>43</v>
      </c>
      <c r="G332" t="s">
        <v>44</v>
      </c>
      <c r="H332" t="s">
        <v>49</v>
      </c>
      <c r="I332">
        <v>13</v>
      </c>
      <c r="J332">
        <v>74534</v>
      </c>
      <c r="K332" t="s">
        <v>45</v>
      </c>
      <c r="L332">
        <v>3</v>
      </c>
      <c r="M332">
        <v>60</v>
      </c>
      <c r="N332">
        <v>2</v>
      </c>
      <c r="O332" t="s">
        <v>27</v>
      </c>
      <c r="P332" t="s">
        <v>28</v>
      </c>
      <c r="Q332">
        <v>5</v>
      </c>
      <c r="R332" t="s">
        <v>27</v>
      </c>
      <c r="S332" t="s">
        <v>27</v>
      </c>
      <c r="T332" t="b">
        <f t="shared" si="50"/>
        <v>0</v>
      </c>
      <c r="U332" t="str">
        <f t="shared" si="51"/>
        <v>Employee_0331</v>
      </c>
      <c r="V332" t="str">
        <f t="shared" si="52"/>
        <v>Male</v>
      </c>
      <c r="W332" t="str">
        <f t="shared" si="53"/>
        <v>It</v>
      </c>
      <c r="X332" t="str">
        <f t="shared" si="54"/>
        <v>Delhi</v>
      </c>
      <c r="Y332" t="str">
        <f t="shared" si="55"/>
        <v>Valid</v>
      </c>
      <c r="Z332" t="str">
        <f t="shared" si="56"/>
        <v>Valid</v>
      </c>
      <c r="AA332" t="str">
        <f t="shared" si="57"/>
        <v>Valid</v>
      </c>
      <c r="AB332" s="9" t="str">
        <f t="shared" si="58"/>
        <v>Valid</v>
      </c>
      <c r="AC332" s="9" t="str">
        <f t="shared" si="59"/>
        <v>Valid</v>
      </c>
      <c r="AD332" s="9" t="str">
        <f>IF(AND(Y332="Valid",Z332="Valid",AA332="Valid",AB332="Valid",COUNTIF($A$2:A332,A332)=1),"Include","Exclude")</f>
        <v>Include</v>
      </c>
    </row>
    <row r="333" spans="1:30" x14ac:dyDescent="0.35">
      <c r="A333" t="s">
        <v>715</v>
      </c>
      <c r="B333" t="s">
        <v>716</v>
      </c>
      <c r="C333" t="s">
        <v>31</v>
      </c>
      <c r="D333">
        <v>53</v>
      </c>
      <c r="E333" t="s">
        <v>55</v>
      </c>
      <c r="F333" t="s">
        <v>43</v>
      </c>
      <c r="G333" t="s">
        <v>24</v>
      </c>
      <c r="H333" t="s">
        <v>25</v>
      </c>
      <c r="I333">
        <v>22</v>
      </c>
      <c r="J333">
        <v>82000</v>
      </c>
      <c r="K333" t="s">
        <v>26</v>
      </c>
      <c r="L333">
        <v>1</v>
      </c>
      <c r="M333">
        <v>26</v>
      </c>
      <c r="N333">
        <v>4</v>
      </c>
      <c r="O333" t="s">
        <v>27</v>
      </c>
      <c r="P333" t="s">
        <v>28</v>
      </c>
      <c r="Q333">
        <v>4</v>
      </c>
      <c r="R333" t="s">
        <v>27</v>
      </c>
      <c r="S333" t="s">
        <v>27</v>
      </c>
      <c r="T333" t="b">
        <f t="shared" si="50"/>
        <v>0</v>
      </c>
      <c r="U333" t="str">
        <f t="shared" si="51"/>
        <v>Employee_0332</v>
      </c>
      <c r="V333" t="str">
        <f t="shared" si="52"/>
        <v>Male</v>
      </c>
      <c r="W333" t="str">
        <f t="shared" si="53"/>
        <v>It</v>
      </c>
      <c r="X333" t="str">
        <f t="shared" si="54"/>
        <v>Hyderabad</v>
      </c>
      <c r="Y333" t="str">
        <f t="shared" si="55"/>
        <v>Valid</v>
      </c>
      <c r="Z333" t="str">
        <f t="shared" si="56"/>
        <v>Valid</v>
      </c>
      <c r="AA333" t="str">
        <f t="shared" si="57"/>
        <v>Valid</v>
      </c>
      <c r="AB333" s="9" t="str">
        <f t="shared" si="58"/>
        <v>Valid</v>
      </c>
      <c r="AC333" s="9" t="str">
        <f t="shared" si="59"/>
        <v>Valid</v>
      </c>
      <c r="AD333" s="9" t="str">
        <f>IF(AND(Y333="Valid",Z333="Valid",AA333="Valid",AB333="Valid",COUNTIF($A$2:A333,A333)=1),"Include","Exclude")</f>
        <v>Include</v>
      </c>
    </row>
    <row r="334" spans="1:30" x14ac:dyDescent="0.35">
      <c r="A334" t="s">
        <v>717</v>
      </c>
      <c r="B334" t="s">
        <v>718</v>
      </c>
      <c r="C334" t="s">
        <v>31</v>
      </c>
      <c r="D334">
        <v>55</v>
      </c>
      <c r="E334" t="s">
        <v>32</v>
      </c>
      <c r="F334" t="s">
        <v>64</v>
      </c>
      <c r="G334" t="s">
        <v>24</v>
      </c>
      <c r="H334" t="s">
        <v>52</v>
      </c>
      <c r="I334">
        <v>16</v>
      </c>
      <c r="J334">
        <v>59209</v>
      </c>
      <c r="K334" t="s">
        <v>35</v>
      </c>
      <c r="L334">
        <v>2</v>
      </c>
      <c r="M334">
        <v>45</v>
      </c>
      <c r="N334">
        <v>4</v>
      </c>
      <c r="O334" t="s">
        <v>28</v>
      </c>
      <c r="P334" t="s">
        <v>27</v>
      </c>
      <c r="Q334">
        <v>4</v>
      </c>
      <c r="R334" t="s">
        <v>28</v>
      </c>
      <c r="S334" t="s">
        <v>27</v>
      </c>
      <c r="T334" t="b">
        <f t="shared" si="50"/>
        <v>0</v>
      </c>
      <c r="U334" t="str">
        <f t="shared" si="51"/>
        <v>Employee_0333</v>
      </c>
      <c r="V334" t="str">
        <f t="shared" si="52"/>
        <v>Male</v>
      </c>
      <c r="W334" t="str">
        <f t="shared" si="53"/>
        <v>Marketing</v>
      </c>
      <c r="X334" t="str">
        <f t="shared" si="54"/>
        <v>Mumbai</v>
      </c>
      <c r="Y334" t="str">
        <f t="shared" si="55"/>
        <v>Valid</v>
      </c>
      <c r="Z334" t="str">
        <f t="shared" si="56"/>
        <v>Valid</v>
      </c>
      <c r="AA334" t="str">
        <f t="shared" si="57"/>
        <v>Valid</v>
      </c>
      <c r="AB334" s="9" t="str">
        <f t="shared" si="58"/>
        <v>Valid</v>
      </c>
      <c r="AC334" s="9" t="str">
        <f t="shared" si="59"/>
        <v>Valid</v>
      </c>
      <c r="AD334" s="9" t="str">
        <f>IF(AND(Y334="Valid",Z334="Valid",AA334="Valid",AB334="Valid",COUNTIF($A$2:A334,A334)=1),"Include","Exclude")</f>
        <v>Include</v>
      </c>
    </row>
    <row r="335" spans="1:30" x14ac:dyDescent="0.35">
      <c r="A335" t="s">
        <v>719</v>
      </c>
      <c r="B335" t="s">
        <v>720</v>
      </c>
      <c r="C335" t="s">
        <v>21</v>
      </c>
      <c r="D335">
        <v>25</v>
      </c>
      <c r="E335" t="s">
        <v>38</v>
      </c>
      <c r="F335" t="s">
        <v>39</v>
      </c>
      <c r="G335" t="s">
        <v>24</v>
      </c>
      <c r="H335" t="s">
        <v>34</v>
      </c>
      <c r="I335">
        <v>3</v>
      </c>
      <c r="J335">
        <v>50468</v>
      </c>
      <c r="K335" t="s">
        <v>45</v>
      </c>
      <c r="L335">
        <v>4</v>
      </c>
      <c r="M335">
        <v>12</v>
      </c>
      <c r="N335">
        <v>4</v>
      </c>
      <c r="O335" t="s">
        <v>28</v>
      </c>
      <c r="P335" t="s">
        <v>28</v>
      </c>
      <c r="Q335">
        <v>3</v>
      </c>
      <c r="R335" t="s">
        <v>27</v>
      </c>
      <c r="S335" t="s">
        <v>27</v>
      </c>
      <c r="T335" t="b">
        <f t="shared" si="50"/>
        <v>0</v>
      </c>
      <c r="U335" t="str">
        <f t="shared" si="51"/>
        <v>Employee_0334</v>
      </c>
      <c r="V335" t="str">
        <f t="shared" si="52"/>
        <v>Female</v>
      </c>
      <c r="W335" t="str">
        <f t="shared" si="53"/>
        <v>Operations</v>
      </c>
      <c r="X335" t="str">
        <f t="shared" si="54"/>
        <v>Gurgaon</v>
      </c>
      <c r="Y335" t="str">
        <f t="shared" si="55"/>
        <v>Valid</v>
      </c>
      <c r="Z335" t="str">
        <f t="shared" si="56"/>
        <v>Valid</v>
      </c>
      <c r="AA335" t="str">
        <f t="shared" si="57"/>
        <v>Valid</v>
      </c>
      <c r="AB335" s="9" t="str">
        <f t="shared" si="58"/>
        <v>Valid</v>
      </c>
      <c r="AC335" s="9" t="str">
        <f t="shared" si="59"/>
        <v>Valid</v>
      </c>
      <c r="AD335" s="9" t="str">
        <f>IF(AND(Y335="Valid",Z335="Valid",AA335="Valid",AB335="Valid",COUNTIF($A$2:A335,A335)=1),"Include","Exclude")</f>
        <v>Include</v>
      </c>
    </row>
    <row r="336" spans="1:30" x14ac:dyDescent="0.35">
      <c r="A336" t="s">
        <v>721</v>
      </c>
      <c r="B336" t="s">
        <v>722</v>
      </c>
      <c r="C336" t="s">
        <v>21</v>
      </c>
      <c r="D336">
        <v>46</v>
      </c>
      <c r="E336" t="s">
        <v>32</v>
      </c>
      <c r="F336" t="s">
        <v>48</v>
      </c>
      <c r="G336" t="s">
        <v>44</v>
      </c>
      <c r="H336" t="s">
        <v>61</v>
      </c>
      <c r="I336">
        <v>10</v>
      </c>
      <c r="J336">
        <v>48626</v>
      </c>
      <c r="K336" t="s">
        <v>26</v>
      </c>
      <c r="L336">
        <v>6</v>
      </c>
      <c r="M336">
        <v>25</v>
      </c>
      <c r="N336">
        <v>6</v>
      </c>
      <c r="O336" t="s">
        <v>28</v>
      </c>
      <c r="P336" t="s">
        <v>27</v>
      </c>
      <c r="Q336">
        <v>4</v>
      </c>
      <c r="R336" t="s">
        <v>27</v>
      </c>
      <c r="S336" t="s">
        <v>27</v>
      </c>
      <c r="T336" t="b">
        <f t="shared" si="50"/>
        <v>0</v>
      </c>
      <c r="U336" t="str">
        <f t="shared" si="51"/>
        <v>Employee_0335</v>
      </c>
      <c r="V336" t="str">
        <f t="shared" si="52"/>
        <v>Female</v>
      </c>
      <c r="W336" t="str">
        <f t="shared" si="53"/>
        <v>Customer Support</v>
      </c>
      <c r="X336" t="str">
        <f t="shared" si="54"/>
        <v>Noida</v>
      </c>
      <c r="Y336" t="str">
        <f t="shared" si="55"/>
        <v>Valid</v>
      </c>
      <c r="Z336" t="str">
        <f t="shared" si="56"/>
        <v>Valid</v>
      </c>
      <c r="AA336" t="str">
        <f t="shared" si="57"/>
        <v>Valid</v>
      </c>
      <c r="AB336" s="9" t="str">
        <f t="shared" si="58"/>
        <v>Valid</v>
      </c>
      <c r="AC336" s="9" t="str">
        <f t="shared" si="59"/>
        <v>Valid</v>
      </c>
      <c r="AD336" s="9" t="str">
        <f>IF(AND(Y336="Valid",Z336="Valid",AA336="Valid",AB336="Valid",COUNTIF($A$2:A336,A336)=1),"Include","Exclude")</f>
        <v>Include</v>
      </c>
    </row>
    <row r="337" spans="1:30" x14ac:dyDescent="0.35">
      <c r="A337" t="s">
        <v>723</v>
      </c>
      <c r="B337" t="s">
        <v>724</v>
      </c>
      <c r="C337" t="s">
        <v>31</v>
      </c>
      <c r="D337">
        <v>23</v>
      </c>
      <c r="E337" t="s">
        <v>38</v>
      </c>
      <c r="F337" t="s">
        <v>23</v>
      </c>
      <c r="G337" t="s">
        <v>24</v>
      </c>
      <c r="H337" t="s">
        <v>70</v>
      </c>
      <c r="I337">
        <v>2</v>
      </c>
      <c r="J337">
        <v>64293</v>
      </c>
      <c r="K337" t="s">
        <v>45</v>
      </c>
      <c r="L337">
        <v>6</v>
      </c>
      <c r="M337">
        <v>31</v>
      </c>
      <c r="N337">
        <v>1</v>
      </c>
      <c r="O337" t="s">
        <v>27</v>
      </c>
      <c r="P337" t="s">
        <v>27</v>
      </c>
      <c r="Q337">
        <v>3</v>
      </c>
      <c r="R337" t="s">
        <v>27</v>
      </c>
      <c r="S337" t="s">
        <v>28</v>
      </c>
      <c r="T337" t="b">
        <f t="shared" si="50"/>
        <v>0</v>
      </c>
      <c r="U337" t="str">
        <f t="shared" si="51"/>
        <v>Employee_0336</v>
      </c>
      <c r="V337" t="str">
        <f t="shared" si="52"/>
        <v>Male</v>
      </c>
      <c r="W337" t="str">
        <f t="shared" si="53"/>
        <v>Finance</v>
      </c>
      <c r="X337" t="str">
        <f t="shared" si="54"/>
        <v>Bangalore</v>
      </c>
      <c r="Y337" t="str">
        <f t="shared" si="55"/>
        <v>Valid</v>
      </c>
      <c r="Z337" t="str">
        <f t="shared" si="56"/>
        <v>Valid</v>
      </c>
      <c r="AA337" t="str">
        <f t="shared" si="57"/>
        <v>Valid</v>
      </c>
      <c r="AB337" s="9" t="str">
        <f t="shared" si="58"/>
        <v>Valid</v>
      </c>
      <c r="AC337" s="9" t="str">
        <f t="shared" si="59"/>
        <v>Valid</v>
      </c>
      <c r="AD337" s="9" t="str">
        <f>IF(AND(Y337="Valid",Z337="Valid",AA337="Valid",AB337="Valid",COUNTIF($A$2:A337,A337)=1),"Include","Exclude")</f>
        <v>Include</v>
      </c>
    </row>
    <row r="338" spans="1:30" x14ac:dyDescent="0.35">
      <c r="A338" t="s">
        <v>725</v>
      </c>
      <c r="B338" t="s">
        <v>726</v>
      </c>
      <c r="C338" t="s">
        <v>21</v>
      </c>
      <c r="D338">
        <v>36</v>
      </c>
      <c r="E338" t="s">
        <v>32</v>
      </c>
      <c r="F338" t="s">
        <v>39</v>
      </c>
      <c r="G338" t="s">
        <v>44</v>
      </c>
      <c r="H338" t="s">
        <v>131</v>
      </c>
      <c r="I338">
        <v>7</v>
      </c>
      <c r="J338">
        <v>68474</v>
      </c>
      <c r="K338" t="s">
        <v>45</v>
      </c>
      <c r="L338">
        <v>7</v>
      </c>
      <c r="M338">
        <v>52</v>
      </c>
      <c r="N338">
        <v>3</v>
      </c>
      <c r="O338" t="s">
        <v>27</v>
      </c>
      <c r="P338" t="s">
        <v>27</v>
      </c>
      <c r="Q338">
        <v>5</v>
      </c>
      <c r="R338" t="s">
        <v>28</v>
      </c>
      <c r="S338" t="s">
        <v>27</v>
      </c>
      <c r="T338" t="b">
        <f t="shared" si="50"/>
        <v>0</v>
      </c>
      <c r="U338" t="str">
        <f t="shared" si="51"/>
        <v>Employee_0337</v>
      </c>
      <c r="V338" t="str">
        <f t="shared" si="52"/>
        <v>Female</v>
      </c>
      <c r="W338" t="str">
        <f t="shared" si="53"/>
        <v>Operations</v>
      </c>
      <c r="X338" t="str">
        <f t="shared" si="54"/>
        <v>Pune</v>
      </c>
      <c r="Y338" t="str">
        <f t="shared" si="55"/>
        <v>Valid</v>
      </c>
      <c r="Z338" t="str">
        <f t="shared" si="56"/>
        <v>Valid</v>
      </c>
      <c r="AA338" t="str">
        <f t="shared" si="57"/>
        <v>Valid</v>
      </c>
      <c r="AB338" s="9" t="str">
        <f t="shared" si="58"/>
        <v>Valid</v>
      </c>
      <c r="AC338" s="9" t="str">
        <f t="shared" si="59"/>
        <v>Valid</v>
      </c>
      <c r="AD338" s="9" t="str">
        <f>IF(AND(Y338="Valid",Z338="Valid",AA338="Valid",AB338="Valid",COUNTIF($A$2:A338,A338)=1),"Include","Exclude")</f>
        <v>Include</v>
      </c>
    </row>
    <row r="339" spans="1:30" x14ac:dyDescent="0.35">
      <c r="A339" t="s">
        <v>727</v>
      </c>
      <c r="B339" t="s">
        <v>728</v>
      </c>
      <c r="C339" t="s">
        <v>21</v>
      </c>
      <c r="D339">
        <v>36</v>
      </c>
      <c r="E339" t="s">
        <v>32</v>
      </c>
      <c r="F339" t="s">
        <v>33</v>
      </c>
      <c r="G339" t="s">
        <v>24</v>
      </c>
      <c r="H339" t="s">
        <v>70</v>
      </c>
      <c r="I339">
        <v>10</v>
      </c>
      <c r="J339">
        <v>67174</v>
      </c>
      <c r="K339" t="s">
        <v>35</v>
      </c>
      <c r="L339">
        <v>6</v>
      </c>
      <c r="M339">
        <v>42</v>
      </c>
      <c r="N339">
        <v>5</v>
      </c>
      <c r="O339" t="s">
        <v>28</v>
      </c>
      <c r="P339" t="s">
        <v>28</v>
      </c>
      <c r="Q339">
        <v>4</v>
      </c>
      <c r="R339" t="s">
        <v>27</v>
      </c>
      <c r="S339" t="s">
        <v>28</v>
      </c>
      <c r="T339" t="b">
        <f t="shared" si="50"/>
        <v>0</v>
      </c>
      <c r="U339" t="str">
        <f t="shared" si="51"/>
        <v>Employee_0338</v>
      </c>
      <c r="V339" t="str">
        <f t="shared" si="52"/>
        <v>Female</v>
      </c>
      <c r="W339" t="str">
        <f t="shared" si="53"/>
        <v>Sales</v>
      </c>
      <c r="X339" t="str">
        <f t="shared" si="54"/>
        <v>Bangalore</v>
      </c>
      <c r="Y339" t="str">
        <f t="shared" si="55"/>
        <v>Valid</v>
      </c>
      <c r="Z339" t="str">
        <f t="shared" si="56"/>
        <v>Valid</v>
      </c>
      <c r="AA339" t="str">
        <f t="shared" si="57"/>
        <v>Valid</v>
      </c>
      <c r="AB339" s="9" t="str">
        <f t="shared" si="58"/>
        <v>Valid</v>
      </c>
      <c r="AC339" s="9" t="str">
        <f t="shared" si="59"/>
        <v>Valid</v>
      </c>
      <c r="AD339" s="9" t="str">
        <f>IF(AND(Y339="Valid",Z339="Valid",AA339="Valid",AB339="Valid",COUNTIF($A$2:A339,A339)=1),"Include","Exclude")</f>
        <v>Include</v>
      </c>
    </row>
    <row r="340" spans="1:30" x14ac:dyDescent="0.35">
      <c r="A340" t="s">
        <v>729</v>
      </c>
      <c r="B340" t="s">
        <v>730</v>
      </c>
      <c r="C340" t="s">
        <v>21</v>
      </c>
      <c r="D340">
        <v>42</v>
      </c>
      <c r="E340" t="s">
        <v>38</v>
      </c>
      <c r="F340" t="s">
        <v>43</v>
      </c>
      <c r="G340" t="s">
        <v>24</v>
      </c>
      <c r="H340" t="s">
        <v>49</v>
      </c>
      <c r="I340">
        <v>17</v>
      </c>
      <c r="J340">
        <v>72368</v>
      </c>
      <c r="K340" t="s">
        <v>40</v>
      </c>
      <c r="L340">
        <v>9</v>
      </c>
      <c r="M340">
        <v>27</v>
      </c>
      <c r="N340">
        <v>3</v>
      </c>
      <c r="O340" t="s">
        <v>27</v>
      </c>
      <c r="P340" t="s">
        <v>27</v>
      </c>
      <c r="Q340">
        <v>3</v>
      </c>
      <c r="R340" t="s">
        <v>27</v>
      </c>
      <c r="S340" t="s">
        <v>27</v>
      </c>
      <c r="T340" t="b">
        <f t="shared" si="50"/>
        <v>0</v>
      </c>
      <c r="U340" t="str">
        <f t="shared" si="51"/>
        <v>Employee_0339</v>
      </c>
      <c r="V340" t="str">
        <f t="shared" si="52"/>
        <v>Female</v>
      </c>
      <c r="W340" t="str">
        <f t="shared" si="53"/>
        <v>It</v>
      </c>
      <c r="X340" t="str">
        <f t="shared" si="54"/>
        <v>Delhi</v>
      </c>
      <c r="Y340" t="str">
        <f t="shared" si="55"/>
        <v>Valid</v>
      </c>
      <c r="Z340" t="str">
        <f t="shared" si="56"/>
        <v>Valid</v>
      </c>
      <c r="AA340" t="str">
        <f t="shared" si="57"/>
        <v>Valid</v>
      </c>
      <c r="AB340" s="9" t="str">
        <f t="shared" si="58"/>
        <v>Valid</v>
      </c>
      <c r="AC340" s="9" t="str">
        <f t="shared" si="59"/>
        <v>Valid</v>
      </c>
      <c r="AD340" s="9" t="str">
        <f>IF(AND(Y340="Valid",Z340="Valid",AA340="Valid",AB340="Valid",COUNTIF($A$2:A340,A340)=1),"Include","Exclude")</f>
        <v>Include</v>
      </c>
    </row>
    <row r="341" spans="1:30" x14ac:dyDescent="0.35">
      <c r="A341" t="s">
        <v>731</v>
      </c>
      <c r="B341" t="s">
        <v>732</v>
      </c>
      <c r="C341" t="s">
        <v>31</v>
      </c>
      <c r="D341">
        <v>30</v>
      </c>
      <c r="E341" t="s">
        <v>55</v>
      </c>
      <c r="F341" t="s">
        <v>33</v>
      </c>
      <c r="G341" t="s">
        <v>24</v>
      </c>
      <c r="H341" t="s">
        <v>49</v>
      </c>
      <c r="I341">
        <v>6</v>
      </c>
      <c r="J341">
        <v>44999</v>
      </c>
      <c r="K341" t="s">
        <v>26</v>
      </c>
      <c r="L341">
        <v>7</v>
      </c>
      <c r="M341">
        <v>44</v>
      </c>
      <c r="N341">
        <v>6</v>
      </c>
      <c r="O341" t="s">
        <v>27</v>
      </c>
      <c r="P341" t="s">
        <v>28</v>
      </c>
      <c r="Q341">
        <v>2</v>
      </c>
      <c r="R341" t="s">
        <v>27</v>
      </c>
      <c r="S341" t="s">
        <v>27</v>
      </c>
      <c r="T341" t="b">
        <f t="shared" si="50"/>
        <v>0</v>
      </c>
      <c r="U341" t="str">
        <f t="shared" si="51"/>
        <v>Employee_0340</v>
      </c>
      <c r="V341" t="str">
        <f t="shared" si="52"/>
        <v>Male</v>
      </c>
      <c r="W341" t="str">
        <f t="shared" si="53"/>
        <v>Sales</v>
      </c>
      <c r="X341" t="str">
        <f t="shared" si="54"/>
        <v>Delhi</v>
      </c>
      <c r="Y341" t="str">
        <f t="shared" si="55"/>
        <v>Valid</v>
      </c>
      <c r="Z341" t="str">
        <f t="shared" si="56"/>
        <v>Valid</v>
      </c>
      <c r="AA341" t="str">
        <f t="shared" si="57"/>
        <v>Valid</v>
      </c>
      <c r="AB341" s="9" t="str">
        <f t="shared" si="58"/>
        <v>Valid</v>
      </c>
      <c r="AC341" s="9" t="str">
        <f t="shared" si="59"/>
        <v>Valid</v>
      </c>
      <c r="AD341" s="9" t="str">
        <f>IF(AND(Y341="Valid",Z341="Valid",AA341="Valid",AB341="Valid",COUNTIF($A$2:A341,A341)=1),"Include","Exclude")</f>
        <v>Include</v>
      </c>
    </row>
    <row r="342" spans="1:30" x14ac:dyDescent="0.35">
      <c r="A342" t="s">
        <v>733</v>
      </c>
      <c r="B342" t="s">
        <v>734</v>
      </c>
      <c r="C342" t="s">
        <v>31</v>
      </c>
      <c r="D342">
        <v>40</v>
      </c>
      <c r="E342" t="s">
        <v>38</v>
      </c>
      <c r="F342" t="s">
        <v>39</v>
      </c>
      <c r="G342" t="s">
        <v>44</v>
      </c>
      <c r="H342" t="s">
        <v>52</v>
      </c>
      <c r="I342">
        <v>15</v>
      </c>
      <c r="J342">
        <v>61212</v>
      </c>
      <c r="K342" t="s">
        <v>45</v>
      </c>
      <c r="L342">
        <v>7</v>
      </c>
      <c r="M342">
        <v>39</v>
      </c>
      <c r="N342">
        <v>5</v>
      </c>
      <c r="O342" t="s">
        <v>28</v>
      </c>
      <c r="P342" t="s">
        <v>28</v>
      </c>
      <c r="Q342">
        <v>4</v>
      </c>
      <c r="R342" t="s">
        <v>28</v>
      </c>
      <c r="S342" t="s">
        <v>27</v>
      </c>
      <c r="T342" t="b">
        <f t="shared" si="50"/>
        <v>0</v>
      </c>
      <c r="U342" t="str">
        <f t="shared" si="51"/>
        <v>Employee_0341</v>
      </c>
      <c r="V342" t="str">
        <f t="shared" si="52"/>
        <v>Male</v>
      </c>
      <c r="W342" t="str">
        <f t="shared" si="53"/>
        <v>Operations</v>
      </c>
      <c r="X342" t="str">
        <f t="shared" si="54"/>
        <v>Mumbai</v>
      </c>
      <c r="Y342" t="str">
        <f t="shared" si="55"/>
        <v>Valid</v>
      </c>
      <c r="Z342" t="str">
        <f t="shared" si="56"/>
        <v>Valid</v>
      </c>
      <c r="AA342" t="str">
        <f t="shared" si="57"/>
        <v>Valid</v>
      </c>
      <c r="AB342" s="9" t="str">
        <f t="shared" si="58"/>
        <v>Valid</v>
      </c>
      <c r="AC342" s="9" t="str">
        <f t="shared" si="59"/>
        <v>Valid</v>
      </c>
      <c r="AD342" s="9" t="str">
        <f>IF(AND(Y342="Valid",Z342="Valid",AA342="Valid",AB342="Valid",COUNTIF($A$2:A342,A342)=1),"Include","Exclude")</f>
        <v>Include</v>
      </c>
    </row>
    <row r="343" spans="1:30" x14ac:dyDescent="0.35">
      <c r="A343" t="s">
        <v>735</v>
      </c>
      <c r="B343" t="s">
        <v>736</v>
      </c>
      <c r="C343" t="s">
        <v>31</v>
      </c>
      <c r="D343">
        <v>36</v>
      </c>
      <c r="E343" t="s">
        <v>55</v>
      </c>
      <c r="F343" t="s">
        <v>39</v>
      </c>
      <c r="G343" t="s">
        <v>24</v>
      </c>
      <c r="H343" t="s">
        <v>70</v>
      </c>
      <c r="I343">
        <v>10</v>
      </c>
      <c r="J343">
        <v>51156</v>
      </c>
      <c r="K343" t="s">
        <v>35</v>
      </c>
      <c r="L343">
        <v>8</v>
      </c>
      <c r="M343">
        <v>34</v>
      </c>
      <c r="N343">
        <v>6</v>
      </c>
      <c r="O343" t="s">
        <v>27</v>
      </c>
      <c r="P343" t="s">
        <v>27</v>
      </c>
      <c r="Q343">
        <v>5</v>
      </c>
      <c r="R343" t="s">
        <v>27</v>
      </c>
      <c r="S343" t="s">
        <v>27</v>
      </c>
      <c r="T343" t="b">
        <f t="shared" si="50"/>
        <v>0</v>
      </c>
      <c r="U343" t="str">
        <f t="shared" si="51"/>
        <v>Employee_0342</v>
      </c>
      <c r="V343" t="str">
        <f t="shared" si="52"/>
        <v>Male</v>
      </c>
      <c r="W343" t="str">
        <f t="shared" si="53"/>
        <v>Operations</v>
      </c>
      <c r="X343" t="str">
        <f t="shared" si="54"/>
        <v>Bangalore</v>
      </c>
      <c r="Y343" t="str">
        <f t="shared" si="55"/>
        <v>Valid</v>
      </c>
      <c r="Z343" t="str">
        <f t="shared" si="56"/>
        <v>Valid</v>
      </c>
      <c r="AA343" t="str">
        <f t="shared" si="57"/>
        <v>Valid</v>
      </c>
      <c r="AB343" s="9" t="str">
        <f t="shared" si="58"/>
        <v>Valid</v>
      </c>
      <c r="AC343" s="9" t="str">
        <f t="shared" si="59"/>
        <v>Valid</v>
      </c>
      <c r="AD343" s="9" t="str">
        <f>IF(AND(Y343="Valid",Z343="Valid",AA343="Valid",AB343="Valid",COUNTIF($A$2:A343,A343)=1),"Include","Exclude")</f>
        <v>Include</v>
      </c>
    </row>
    <row r="344" spans="1:30" x14ac:dyDescent="0.35">
      <c r="A344" t="s">
        <v>737</v>
      </c>
      <c r="B344" t="s">
        <v>738</v>
      </c>
      <c r="C344" t="s">
        <v>31</v>
      </c>
      <c r="D344">
        <v>32</v>
      </c>
      <c r="E344" t="s">
        <v>55</v>
      </c>
      <c r="F344" t="s">
        <v>64</v>
      </c>
      <c r="G344" t="s">
        <v>24</v>
      </c>
      <c r="H344" t="s">
        <v>25</v>
      </c>
      <c r="I344">
        <v>6</v>
      </c>
      <c r="J344">
        <v>50883</v>
      </c>
      <c r="K344" t="s">
        <v>26</v>
      </c>
      <c r="L344">
        <v>4</v>
      </c>
      <c r="M344">
        <v>18</v>
      </c>
      <c r="N344">
        <v>3</v>
      </c>
      <c r="O344" t="s">
        <v>27</v>
      </c>
      <c r="P344" t="s">
        <v>28</v>
      </c>
      <c r="Q344">
        <v>1</v>
      </c>
      <c r="R344" t="s">
        <v>28</v>
      </c>
      <c r="S344" t="s">
        <v>27</v>
      </c>
      <c r="T344" t="b">
        <f t="shared" si="50"/>
        <v>0</v>
      </c>
      <c r="U344" t="str">
        <f t="shared" si="51"/>
        <v>Employee_0343</v>
      </c>
      <c r="V344" t="str">
        <f t="shared" si="52"/>
        <v>Male</v>
      </c>
      <c r="W344" t="str">
        <f t="shared" si="53"/>
        <v>Marketing</v>
      </c>
      <c r="X344" t="str">
        <f t="shared" si="54"/>
        <v>Hyderabad</v>
      </c>
      <c r="Y344" t="str">
        <f t="shared" si="55"/>
        <v>Valid</v>
      </c>
      <c r="Z344" t="str">
        <f t="shared" si="56"/>
        <v>Valid</v>
      </c>
      <c r="AA344" t="str">
        <f t="shared" si="57"/>
        <v>Valid</v>
      </c>
      <c r="AB344" s="9" t="str">
        <f t="shared" si="58"/>
        <v>Valid</v>
      </c>
      <c r="AC344" s="9" t="str">
        <f t="shared" si="59"/>
        <v>Valid</v>
      </c>
      <c r="AD344" s="9" t="str">
        <f>IF(AND(Y344="Valid",Z344="Valid",AA344="Valid",AB344="Valid",COUNTIF($A$2:A344,A344)=1),"Include","Exclude")</f>
        <v>Include</v>
      </c>
    </row>
    <row r="345" spans="1:30" x14ac:dyDescent="0.35">
      <c r="A345" t="s">
        <v>739</v>
      </c>
      <c r="B345" t="s">
        <v>740</v>
      </c>
      <c r="C345" t="s">
        <v>21</v>
      </c>
      <c r="D345">
        <v>47</v>
      </c>
      <c r="E345" t="s">
        <v>38</v>
      </c>
      <c r="F345" t="s">
        <v>48</v>
      </c>
      <c r="G345" t="s">
        <v>24</v>
      </c>
      <c r="H345" t="s">
        <v>61</v>
      </c>
      <c r="I345">
        <v>10</v>
      </c>
      <c r="J345">
        <v>57329</v>
      </c>
      <c r="K345" t="s">
        <v>45</v>
      </c>
      <c r="L345">
        <v>5</v>
      </c>
      <c r="M345">
        <v>35</v>
      </c>
      <c r="N345">
        <v>0</v>
      </c>
      <c r="O345" t="s">
        <v>27</v>
      </c>
      <c r="P345" t="s">
        <v>27</v>
      </c>
      <c r="Q345">
        <v>4</v>
      </c>
      <c r="R345" t="s">
        <v>27</v>
      </c>
      <c r="S345" t="s">
        <v>27</v>
      </c>
      <c r="T345" t="b">
        <f t="shared" si="50"/>
        <v>0</v>
      </c>
      <c r="U345" t="str">
        <f t="shared" si="51"/>
        <v>Employee_0344</v>
      </c>
      <c r="V345" t="str">
        <f t="shared" si="52"/>
        <v>Female</v>
      </c>
      <c r="W345" t="str">
        <f t="shared" si="53"/>
        <v>Customer Support</v>
      </c>
      <c r="X345" t="str">
        <f t="shared" si="54"/>
        <v>Noida</v>
      </c>
      <c r="Y345" t="str">
        <f t="shared" si="55"/>
        <v>Valid</v>
      </c>
      <c r="Z345" t="str">
        <f t="shared" si="56"/>
        <v>Valid</v>
      </c>
      <c r="AA345" t="str">
        <f t="shared" si="57"/>
        <v>Valid</v>
      </c>
      <c r="AB345" s="9" t="str">
        <f t="shared" si="58"/>
        <v>Valid</v>
      </c>
      <c r="AC345" s="9" t="str">
        <f t="shared" si="59"/>
        <v>Valid</v>
      </c>
      <c r="AD345" s="9" t="str">
        <f>IF(AND(Y345="Valid",Z345="Valid",AA345="Valid",AB345="Valid",COUNTIF($A$2:A345,A345)=1),"Include","Exclude")</f>
        <v>Include</v>
      </c>
    </row>
    <row r="346" spans="1:30" x14ac:dyDescent="0.35">
      <c r="A346" t="s">
        <v>741</v>
      </c>
      <c r="B346" t="s">
        <v>742</v>
      </c>
      <c r="C346" t="s">
        <v>21</v>
      </c>
      <c r="D346">
        <v>50</v>
      </c>
      <c r="E346" t="s">
        <v>32</v>
      </c>
      <c r="F346" t="s">
        <v>48</v>
      </c>
      <c r="G346" t="s">
        <v>69</v>
      </c>
      <c r="H346" t="s">
        <v>34</v>
      </c>
      <c r="I346">
        <v>22</v>
      </c>
      <c r="J346">
        <v>53476</v>
      </c>
      <c r="K346" t="s">
        <v>26</v>
      </c>
      <c r="L346">
        <v>1</v>
      </c>
      <c r="M346">
        <v>18</v>
      </c>
      <c r="N346">
        <v>3</v>
      </c>
      <c r="O346" t="s">
        <v>27</v>
      </c>
      <c r="P346" t="s">
        <v>28</v>
      </c>
      <c r="Q346">
        <v>1</v>
      </c>
      <c r="R346" t="s">
        <v>27</v>
      </c>
      <c r="S346" t="s">
        <v>27</v>
      </c>
      <c r="T346" t="b">
        <f t="shared" si="50"/>
        <v>0</v>
      </c>
      <c r="U346" t="str">
        <f t="shared" si="51"/>
        <v>Employee_0345</v>
      </c>
      <c r="V346" t="str">
        <f t="shared" si="52"/>
        <v>Female</v>
      </c>
      <c r="W346" t="str">
        <f t="shared" si="53"/>
        <v>Customer Support</v>
      </c>
      <c r="X346" t="str">
        <f t="shared" si="54"/>
        <v>Gurgaon</v>
      </c>
      <c r="Y346" t="str">
        <f t="shared" si="55"/>
        <v>Valid</v>
      </c>
      <c r="Z346" t="str">
        <f t="shared" si="56"/>
        <v>Valid</v>
      </c>
      <c r="AA346" t="str">
        <f t="shared" si="57"/>
        <v>Valid</v>
      </c>
      <c r="AB346" s="9" t="str">
        <f t="shared" si="58"/>
        <v>Valid</v>
      </c>
      <c r="AC346" s="9" t="str">
        <f t="shared" si="59"/>
        <v>Valid</v>
      </c>
      <c r="AD346" s="9" t="str">
        <f>IF(AND(Y346="Valid",Z346="Valid",AA346="Valid",AB346="Valid",COUNTIF($A$2:A346,A346)=1),"Include","Exclude")</f>
        <v>Include</v>
      </c>
    </row>
    <row r="347" spans="1:30" x14ac:dyDescent="0.35">
      <c r="A347" t="s">
        <v>743</v>
      </c>
      <c r="B347" t="s">
        <v>744</v>
      </c>
      <c r="C347" t="s">
        <v>31</v>
      </c>
      <c r="D347">
        <v>30</v>
      </c>
      <c r="E347" t="s">
        <v>38</v>
      </c>
      <c r="F347" t="s">
        <v>48</v>
      </c>
      <c r="G347" t="s">
        <v>24</v>
      </c>
      <c r="H347" t="s">
        <v>131</v>
      </c>
      <c r="I347">
        <v>4</v>
      </c>
      <c r="J347">
        <v>45005</v>
      </c>
      <c r="K347" t="s">
        <v>26</v>
      </c>
      <c r="L347">
        <v>6</v>
      </c>
      <c r="M347">
        <v>25</v>
      </c>
      <c r="N347">
        <v>5</v>
      </c>
      <c r="O347" t="s">
        <v>28</v>
      </c>
      <c r="P347" t="s">
        <v>28</v>
      </c>
      <c r="Q347">
        <v>1</v>
      </c>
      <c r="R347" t="s">
        <v>27</v>
      </c>
      <c r="S347" t="s">
        <v>27</v>
      </c>
      <c r="T347" t="b">
        <f t="shared" si="50"/>
        <v>0</v>
      </c>
      <c r="U347" t="str">
        <f t="shared" si="51"/>
        <v>Employee_0346</v>
      </c>
      <c r="V347" t="str">
        <f t="shared" si="52"/>
        <v>Male</v>
      </c>
      <c r="W347" t="str">
        <f t="shared" si="53"/>
        <v>Customer Support</v>
      </c>
      <c r="X347" t="str">
        <f t="shared" si="54"/>
        <v>Pune</v>
      </c>
      <c r="Y347" t="str">
        <f t="shared" si="55"/>
        <v>Valid</v>
      </c>
      <c r="Z347" t="str">
        <f t="shared" si="56"/>
        <v>Valid</v>
      </c>
      <c r="AA347" t="str">
        <f t="shared" si="57"/>
        <v>Valid</v>
      </c>
      <c r="AB347" s="9" t="str">
        <f t="shared" si="58"/>
        <v>Valid</v>
      </c>
      <c r="AC347" s="9" t="str">
        <f t="shared" si="59"/>
        <v>Valid</v>
      </c>
      <c r="AD347" s="9" t="str">
        <f>IF(AND(Y347="Valid",Z347="Valid",AA347="Valid",AB347="Valid",COUNTIF($A$2:A347,A347)=1),"Include","Exclude")</f>
        <v>Include</v>
      </c>
    </row>
    <row r="348" spans="1:30" x14ac:dyDescent="0.35">
      <c r="A348" t="s">
        <v>745</v>
      </c>
      <c r="B348" t="s">
        <v>746</v>
      </c>
      <c r="C348" t="s">
        <v>31</v>
      </c>
      <c r="D348">
        <v>54</v>
      </c>
      <c r="E348" t="s">
        <v>55</v>
      </c>
      <c r="F348" t="s">
        <v>64</v>
      </c>
      <c r="G348" t="s">
        <v>24</v>
      </c>
      <c r="H348" t="s">
        <v>52</v>
      </c>
      <c r="I348">
        <v>21</v>
      </c>
      <c r="J348">
        <v>62318</v>
      </c>
      <c r="K348" t="s">
        <v>45</v>
      </c>
      <c r="L348">
        <v>4</v>
      </c>
      <c r="M348">
        <v>43</v>
      </c>
      <c r="N348">
        <v>3</v>
      </c>
      <c r="O348" t="s">
        <v>28</v>
      </c>
      <c r="P348" t="s">
        <v>28</v>
      </c>
      <c r="Q348">
        <v>4</v>
      </c>
      <c r="R348" t="s">
        <v>27</v>
      </c>
      <c r="S348" t="s">
        <v>27</v>
      </c>
      <c r="T348" t="b">
        <f t="shared" si="50"/>
        <v>0</v>
      </c>
      <c r="U348" t="str">
        <f t="shared" si="51"/>
        <v>Employee_0347</v>
      </c>
      <c r="V348" t="str">
        <f t="shared" si="52"/>
        <v>Male</v>
      </c>
      <c r="W348" t="str">
        <f t="shared" si="53"/>
        <v>Marketing</v>
      </c>
      <c r="X348" t="str">
        <f t="shared" si="54"/>
        <v>Mumbai</v>
      </c>
      <c r="Y348" t="str">
        <f t="shared" si="55"/>
        <v>Valid</v>
      </c>
      <c r="Z348" t="str">
        <f t="shared" si="56"/>
        <v>Valid</v>
      </c>
      <c r="AA348" t="str">
        <f t="shared" si="57"/>
        <v>Valid</v>
      </c>
      <c r="AB348" s="9" t="str">
        <f t="shared" si="58"/>
        <v>Valid</v>
      </c>
      <c r="AC348" s="9" t="str">
        <f t="shared" si="59"/>
        <v>Valid</v>
      </c>
      <c r="AD348" s="9" t="str">
        <f>IF(AND(Y348="Valid",Z348="Valid",AA348="Valid",AB348="Valid",COUNTIF($A$2:A348,A348)=1),"Include","Exclude")</f>
        <v>Include</v>
      </c>
    </row>
    <row r="349" spans="1:30" x14ac:dyDescent="0.35">
      <c r="A349" t="s">
        <v>747</v>
      </c>
      <c r="B349" t="s">
        <v>748</v>
      </c>
      <c r="C349" t="s">
        <v>21</v>
      </c>
      <c r="D349">
        <v>26</v>
      </c>
      <c r="E349" t="s">
        <v>55</v>
      </c>
      <c r="F349" t="s">
        <v>33</v>
      </c>
      <c r="G349" t="s">
        <v>24</v>
      </c>
      <c r="H349" t="s">
        <v>49</v>
      </c>
      <c r="I349">
        <v>3</v>
      </c>
      <c r="J349">
        <v>56236</v>
      </c>
      <c r="K349" t="s">
        <v>45</v>
      </c>
      <c r="L349">
        <v>4</v>
      </c>
      <c r="M349">
        <v>46</v>
      </c>
      <c r="N349">
        <v>5</v>
      </c>
      <c r="O349" t="s">
        <v>27</v>
      </c>
      <c r="P349" t="s">
        <v>27</v>
      </c>
      <c r="Q349">
        <v>5</v>
      </c>
      <c r="R349" t="s">
        <v>28</v>
      </c>
      <c r="S349" t="s">
        <v>27</v>
      </c>
      <c r="T349" t="b">
        <f t="shared" si="50"/>
        <v>0</v>
      </c>
      <c r="U349" t="str">
        <f t="shared" si="51"/>
        <v>Employee_0348</v>
      </c>
      <c r="V349" t="str">
        <f t="shared" si="52"/>
        <v>Female</v>
      </c>
      <c r="W349" t="str">
        <f t="shared" si="53"/>
        <v>Sales</v>
      </c>
      <c r="X349" t="str">
        <f t="shared" si="54"/>
        <v>Delhi</v>
      </c>
      <c r="Y349" t="str">
        <f t="shared" si="55"/>
        <v>Valid</v>
      </c>
      <c r="Z349" t="str">
        <f t="shared" si="56"/>
        <v>Valid</v>
      </c>
      <c r="AA349" t="str">
        <f t="shared" si="57"/>
        <v>Valid</v>
      </c>
      <c r="AB349" s="9" t="str">
        <f t="shared" si="58"/>
        <v>Valid</v>
      </c>
      <c r="AC349" s="9" t="str">
        <f t="shared" si="59"/>
        <v>Valid</v>
      </c>
      <c r="AD349" s="9" t="str">
        <f>IF(AND(Y349="Valid",Z349="Valid",AA349="Valid",AB349="Valid",COUNTIF($A$2:A349,A349)=1),"Include","Exclude")</f>
        <v>Include</v>
      </c>
    </row>
    <row r="350" spans="1:30" x14ac:dyDescent="0.35">
      <c r="A350" t="s">
        <v>749</v>
      </c>
      <c r="B350" t="s">
        <v>750</v>
      </c>
      <c r="C350" t="s">
        <v>21</v>
      </c>
      <c r="D350">
        <v>37</v>
      </c>
      <c r="E350" t="s">
        <v>55</v>
      </c>
      <c r="F350" t="s">
        <v>33</v>
      </c>
      <c r="G350" t="s">
        <v>24</v>
      </c>
      <c r="H350" t="s">
        <v>52</v>
      </c>
      <c r="I350">
        <v>13</v>
      </c>
      <c r="J350">
        <v>66056</v>
      </c>
      <c r="K350" t="s">
        <v>40</v>
      </c>
      <c r="L350">
        <v>1</v>
      </c>
      <c r="M350">
        <v>17</v>
      </c>
      <c r="N350">
        <v>4</v>
      </c>
      <c r="O350" t="s">
        <v>28</v>
      </c>
      <c r="P350" t="s">
        <v>28</v>
      </c>
      <c r="Q350">
        <v>4</v>
      </c>
      <c r="R350" t="s">
        <v>27</v>
      </c>
      <c r="S350" t="s">
        <v>27</v>
      </c>
      <c r="T350" t="b">
        <f t="shared" si="50"/>
        <v>0</v>
      </c>
      <c r="U350" t="str">
        <f t="shared" si="51"/>
        <v>Employee_0349</v>
      </c>
      <c r="V350" t="str">
        <f t="shared" si="52"/>
        <v>Female</v>
      </c>
      <c r="W350" t="str">
        <f t="shared" si="53"/>
        <v>Sales</v>
      </c>
      <c r="X350" t="str">
        <f t="shared" si="54"/>
        <v>Mumbai</v>
      </c>
      <c r="Y350" t="str">
        <f t="shared" si="55"/>
        <v>Valid</v>
      </c>
      <c r="Z350" t="str">
        <f t="shared" si="56"/>
        <v>Valid</v>
      </c>
      <c r="AA350" t="str">
        <f t="shared" si="57"/>
        <v>Valid</v>
      </c>
      <c r="AB350" s="9" t="str">
        <f t="shared" si="58"/>
        <v>Valid</v>
      </c>
      <c r="AC350" s="9" t="str">
        <f t="shared" si="59"/>
        <v>Valid</v>
      </c>
      <c r="AD350" s="9" t="str">
        <f>IF(AND(Y350="Valid",Z350="Valid",AA350="Valid",AB350="Valid",COUNTIF($A$2:A350,A350)=1),"Include","Exclude")</f>
        <v>Include</v>
      </c>
    </row>
    <row r="351" spans="1:30" x14ac:dyDescent="0.35">
      <c r="A351" t="s">
        <v>751</v>
      </c>
      <c r="B351" t="s">
        <v>752</v>
      </c>
      <c r="C351" t="s">
        <v>21</v>
      </c>
      <c r="D351">
        <v>45</v>
      </c>
      <c r="E351" t="s">
        <v>38</v>
      </c>
      <c r="F351" t="s">
        <v>43</v>
      </c>
      <c r="G351" t="s">
        <v>69</v>
      </c>
      <c r="H351" t="s">
        <v>131</v>
      </c>
      <c r="I351">
        <v>17</v>
      </c>
      <c r="J351">
        <v>82000</v>
      </c>
      <c r="K351" t="s">
        <v>45</v>
      </c>
      <c r="L351">
        <v>5</v>
      </c>
      <c r="M351">
        <v>31</v>
      </c>
      <c r="N351">
        <v>2</v>
      </c>
      <c r="O351" t="s">
        <v>27</v>
      </c>
      <c r="P351" t="s">
        <v>27</v>
      </c>
      <c r="Q351">
        <v>3</v>
      </c>
      <c r="R351" t="s">
        <v>27</v>
      </c>
      <c r="S351" t="s">
        <v>27</v>
      </c>
      <c r="T351" t="b">
        <f t="shared" si="50"/>
        <v>0</v>
      </c>
      <c r="U351" t="str">
        <f t="shared" si="51"/>
        <v>Employee_0350</v>
      </c>
      <c r="V351" t="str">
        <f t="shared" si="52"/>
        <v>Female</v>
      </c>
      <c r="W351" t="str">
        <f t="shared" si="53"/>
        <v>It</v>
      </c>
      <c r="X351" t="str">
        <f t="shared" si="54"/>
        <v>Pune</v>
      </c>
      <c r="Y351" t="str">
        <f t="shared" si="55"/>
        <v>Valid</v>
      </c>
      <c r="Z351" t="str">
        <f t="shared" si="56"/>
        <v>Valid</v>
      </c>
      <c r="AA351" t="str">
        <f t="shared" si="57"/>
        <v>Valid</v>
      </c>
      <c r="AB351" s="9" t="str">
        <f t="shared" si="58"/>
        <v>Valid</v>
      </c>
      <c r="AC351" s="9" t="str">
        <f t="shared" si="59"/>
        <v>Valid</v>
      </c>
      <c r="AD351" s="9" t="str">
        <f>IF(AND(Y351="Valid",Z351="Valid",AA351="Valid",AB351="Valid",COUNTIF($A$2:A351,A351)=1),"Include","Exclude")</f>
        <v>Include</v>
      </c>
    </row>
    <row r="352" spans="1:30" x14ac:dyDescent="0.35">
      <c r="A352" t="s">
        <v>753</v>
      </c>
      <c r="B352" t="s">
        <v>754</v>
      </c>
      <c r="C352" t="s">
        <v>21</v>
      </c>
      <c r="D352">
        <v>49</v>
      </c>
      <c r="E352" t="s">
        <v>55</v>
      </c>
      <c r="F352" t="s">
        <v>43</v>
      </c>
      <c r="G352" t="s">
        <v>44</v>
      </c>
      <c r="H352" t="s">
        <v>131</v>
      </c>
      <c r="I352">
        <v>13</v>
      </c>
      <c r="J352">
        <v>82000</v>
      </c>
      <c r="K352" t="s">
        <v>40</v>
      </c>
      <c r="L352">
        <v>6</v>
      </c>
      <c r="M352">
        <v>18</v>
      </c>
      <c r="N352">
        <v>3</v>
      </c>
      <c r="O352" t="s">
        <v>28</v>
      </c>
      <c r="P352" t="s">
        <v>28</v>
      </c>
      <c r="Q352">
        <v>2</v>
      </c>
      <c r="R352" t="s">
        <v>27</v>
      </c>
      <c r="S352" t="s">
        <v>27</v>
      </c>
      <c r="T352" t="b">
        <f t="shared" si="50"/>
        <v>0</v>
      </c>
      <c r="U352" t="str">
        <f t="shared" si="51"/>
        <v>Employee_0351</v>
      </c>
      <c r="V352" t="str">
        <f t="shared" si="52"/>
        <v>Female</v>
      </c>
      <c r="W352" t="str">
        <f t="shared" si="53"/>
        <v>It</v>
      </c>
      <c r="X352" t="str">
        <f t="shared" si="54"/>
        <v>Pune</v>
      </c>
      <c r="Y352" t="str">
        <f t="shared" si="55"/>
        <v>Valid</v>
      </c>
      <c r="Z352" t="str">
        <f t="shared" si="56"/>
        <v>Valid</v>
      </c>
      <c r="AA352" t="str">
        <f t="shared" si="57"/>
        <v>Valid</v>
      </c>
      <c r="AB352" s="9" t="str">
        <f t="shared" si="58"/>
        <v>Valid</v>
      </c>
      <c r="AC352" s="9" t="str">
        <f t="shared" si="59"/>
        <v>Valid</v>
      </c>
      <c r="AD352" s="9" t="str">
        <f>IF(AND(Y352="Valid",Z352="Valid",AA352="Valid",AB352="Valid",COUNTIF($A$2:A352,A352)=1),"Include","Exclude")</f>
        <v>Include</v>
      </c>
    </row>
    <row r="353" spans="1:30" x14ac:dyDescent="0.35">
      <c r="A353" t="s">
        <v>755</v>
      </c>
      <c r="B353" t="s">
        <v>756</v>
      </c>
      <c r="C353" t="s">
        <v>21</v>
      </c>
      <c r="D353">
        <v>48</v>
      </c>
      <c r="E353" t="s">
        <v>55</v>
      </c>
      <c r="F353" t="s">
        <v>23</v>
      </c>
      <c r="G353" t="s">
        <v>44</v>
      </c>
      <c r="H353" t="s">
        <v>61</v>
      </c>
      <c r="I353">
        <v>16</v>
      </c>
      <c r="J353">
        <v>71255</v>
      </c>
      <c r="K353" t="s">
        <v>45</v>
      </c>
      <c r="L353">
        <v>4</v>
      </c>
      <c r="M353">
        <v>16</v>
      </c>
      <c r="N353">
        <v>5</v>
      </c>
      <c r="O353" t="s">
        <v>27</v>
      </c>
      <c r="P353" t="s">
        <v>28</v>
      </c>
      <c r="Q353">
        <v>3</v>
      </c>
      <c r="R353" t="s">
        <v>27</v>
      </c>
      <c r="S353" t="s">
        <v>27</v>
      </c>
      <c r="T353" t="b">
        <f t="shared" si="50"/>
        <v>0</v>
      </c>
      <c r="U353" t="str">
        <f t="shared" si="51"/>
        <v>Employee_0352</v>
      </c>
      <c r="V353" t="str">
        <f t="shared" si="52"/>
        <v>Female</v>
      </c>
      <c r="W353" t="str">
        <f t="shared" si="53"/>
        <v>Finance</v>
      </c>
      <c r="X353" t="str">
        <f t="shared" si="54"/>
        <v>Noida</v>
      </c>
      <c r="Y353" t="str">
        <f t="shared" si="55"/>
        <v>Valid</v>
      </c>
      <c r="Z353" t="str">
        <f t="shared" si="56"/>
        <v>Valid</v>
      </c>
      <c r="AA353" t="str">
        <f t="shared" si="57"/>
        <v>Valid</v>
      </c>
      <c r="AB353" s="9" t="str">
        <f t="shared" si="58"/>
        <v>Valid</v>
      </c>
      <c r="AC353" s="9" t="str">
        <f t="shared" si="59"/>
        <v>Valid</v>
      </c>
      <c r="AD353" s="9" t="str">
        <f>IF(AND(Y353="Valid",Z353="Valid",AA353="Valid",AB353="Valid",COUNTIF($A$2:A353,A353)=1),"Include","Exclude")</f>
        <v>Include</v>
      </c>
    </row>
    <row r="354" spans="1:30" x14ac:dyDescent="0.35">
      <c r="A354" t="s">
        <v>757</v>
      </c>
      <c r="B354" t="s">
        <v>758</v>
      </c>
      <c r="C354" t="s">
        <v>31</v>
      </c>
      <c r="D354">
        <v>43</v>
      </c>
      <c r="E354" t="s">
        <v>38</v>
      </c>
      <c r="F354" t="s">
        <v>23</v>
      </c>
      <c r="G354" t="s">
        <v>24</v>
      </c>
      <c r="H354" t="s">
        <v>49</v>
      </c>
      <c r="I354">
        <v>15</v>
      </c>
      <c r="J354">
        <v>72122</v>
      </c>
      <c r="K354" t="s">
        <v>26</v>
      </c>
      <c r="L354">
        <v>7</v>
      </c>
      <c r="M354">
        <v>39</v>
      </c>
      <c r="N354">
        <v>3</v>
      </c>
      <c r="O354" t="s">
        <v>27</v>
      </c>
      <c r="P354" t="s">
        <v>28</v>
      </c>
      <c r="Q354">
        <v>1</v>
      </c>
      <c r="R354" t="s">
        <v>27</v>
      </c>
      <c r="S354" t="s">
        <v>27</v>
      </c>
      <c r="T354" t="b">
        <f t="shared" si="50"/>
        <v>0</v>
      </c>
      <c r="U354" t="str">
        <f t="shared" si="51"/>
        <v>Employee_0353</v>
      </c>
      <c r="V354" t="str">
        <f t="shared" si="52"/>
        <v>Male</v>
      </c>
      <c r="W354" t="str">
        <f t="shared" si="53"/>
        <v>Finance</v>
      </c>
      <c r="X354" t="str">
        <f t="shared" si="54"/>
        <v>Delhi</v>
      </c>
      <c r="Y354" t="str">
        <f t="shared" si="55"/>
        <v>Valid</v>
      </c>
      <c r="Z354" t="str">
        <f t="shared" si="56"/>
        <v>Valid</v>
      </c>
      <c r="AA354" t="str">
        <f t="shared" si="57"/>
        <v>Valid</v>
      </c>
      <c r="AB354" s="9" t="str">
        <f t="shared" si="58"/>
        <v>Valid</v>
      </c>
      <c r="AC354" s="9" t="str">
        <f t="shared" si="59"/>
        <v>Valid</v>
      </c>
      <c r="AD354" s="9" t="str">
        <f>IF(AND(Y354="Valid",Z354="Valid",AA354="Valid",AB354="Valid",COUNTIF($A$2:A354,A354)=1),"Include","Exclude")</f>
        <v>Include</v>
      </c>
    </row>
    <row r="355" spans="1:30" x14ac:dyDescent="0.35">
      <c r="A355" t="s">
        <v>759</v>
      </c>
      <c r="B355" t="s">
        <v>760</v>
      </c>
      <c r="C355" t="s">
        <v>31</v>
      </c>
      <c r="D355">
        <v>52</v>
      </c>
      <c r="E355" t="s">
        <v>55</v>
      </c>
      <c r="F355" t="s">
        <v>43</v>
      </c>
      <c r="G355" t="s">
        <v>44</v>
      </c>
      <c r="H355" t="s">
        <v>49</v>
      </c>
      <c r="I355">
        <v>22</v>
      </c>
      <c r="J355">
        <v>78706</v>
      </c>
      <c r="K355" t="s">
        <v>26</v>
      </c>
      <c r="L355">
        <v>6</v>
      </c>
      <c r="M355">
        <v>2</v>
      </c>
      <c r="N355">
        <v>2</v>
      </c>
      <c r="O355" t="s">
        <v>27</v>
      </c>
      <c r="P355" t="s">
        <v>28</v>
      </c>
      <c r="Q355">
        <v>5</v>
      </c>
      <c r="R355" t="s">
        <v>27</v>
      </c>
      <c r="S355" t="s">
        <v>27</v>
      </c>
      <c r="T355" t="b">
        <f t="shared" si="50"/>
        <v>0</v>
      </c>
      <c r="U355" t="str">
        <f t="shared" si="51"/>
        <v>Employee_0354</v>
      </c>
      <c r="V355" t="str">
        <f t="shared" si="52"/>
        <v>Male</v>
      </c>
      <c r="W355" t="str">
        <f t="shared" si="53"/>
        <v>It</v>
      </c>
      <c r="X355" t="str">
        <f t="shared" si="54"/>
        <v>Delhi</v>
      </c>
      <c r="Y355" t="str">
        <f t="shared" si="55"/>
        <v>Valid</v>
      </c>
      <c r="Z355" t="str">
        <f t="shared" si="56"/>
        <v>Valid</v>
      </c>
      <c r="AA355" t="str">
        <f t="shared" si="57"/>
        <v>Valid</v>
      </c>
      <c r="AB355" s="9" t="str">
        <f t="shared" si="58"/>
        <v>Valid</v>
      </c>
      <c r="AC355" s="9" t="str">
        <f t="shared" si="59"/>
        <v>Valid</v>
      </c>
      <c r="AD355" s="9" t="str">
        <f>IF(AND(Y355="Valid",Z355="Valid",AA355="Valid",AB355="Valid",COUNTIF($A$2:A355,A355)=1),"Include","Exclude")</f>
        <v>Include</v>
      </c>
    </row>
    <row r="356" spans="1:30" x14ac:dyDescent="0.35">
      <c r="A356" t="s">
        <v>761</v>
      </c>
      <c r="B356" t="s">
        <v>762</v>
      </c>
      <c r="C356" t="s">
        <v>21</v>
      </c>
      <c r="D356">
        <v>27</v>
      </c>
      <c r="E356" t="s">
        <v>38</v>
      </c>
      <c r="F356" t="s">
        <v>43</v>
      </c>
      <c r="G356" t="s">
        <v>24</v>
      </c>
      <c r="H356" t="s">
        <v>52</v>
      </c>
      <c r="I356">
        <v>3</v>
      </c>
      <c r="J356">
        <v>76282</v>
      </c>
      <c r="K356" t="s">
        <v>45</v>
      </c>
      <c r="L356">
        <v>8</v>
      </c>
      <c r="M356">
        <v>36</v>
      </c>
      <c r="N356">
        <v>2</v>
      </c>
      <c r="O356" t="s">
        <v>27</v>
      </c>
      <c r="P356" t="s">
        <v>28</v>
      </c>
      <c r="Q356">
        <v>4</v>
      </c>
      <c r="R356" t="s">
        <v>27</v>
      </c>
      <c r="S356" t="s">
        <v>27</v>
      </c>
      <c r="T356" t="b">
        <f t="shared" si="50"/>
        <v>0</v>
      </c>
      <c r="U356" t="str">
        <f t="shared" si="51"/>
        <v>Employee_0355</v>
      </c>
      <c r="V356" t="str">
        <f t="shared" si="52"/>
        <v>Female</v>
      </c>
      <c r="W356" t="str">
        <f t="shared" si="53"/>
        <v>It</v>
      </c>
      <c r="X356" t="str">
        <f t="shared" si="54"/>
        <v>Mumbai</v>
      </c>
      <c r="Y356" t="str">
        <f t="shared" si="55"/>
        <v>Valid</v>
      </c>
      <c r="Z356" t="str">
        <f t="shared" si="56"/>
        <v>Valid</v>
      </c>
      <c r="AA356" t="str">
        <f t="shared" si="57"/>
        <v>Valid</v>
      </c>
      <c r="AB356" s="9" t="str">
        <f t="shared" si="58"/>
        <v>Valid</v>
      </c>
      <c r="AC356" s="9" t="str">
        <f t="shared" si="59"/>
        <v>Valid</v>
      </c>
      <c r="AD356" s="9" t="str">
        <f>IF(AND(Y356="Valid",Z356="Valid",AA356="Valid",AB356="Valid",COUNTIF($A$2:A356,A356)=1),"Include","Exclude")</f>
        <v>Include</v>
      </c>
    </row>
    <row r="357" spans="1:30" x14ac:dyDescent="0.35">
      <c r="A357" t="s">
        <v>763</v>
      </c>
      <c r="B357" t="s">
        <v>764</v>
      </c>
      <c r="C357" t="s">
        <v>21</v>
      </c>
      <c r="D357">
        <v>26</v>
      </c>
      <c r="E357" t="s">
        <v>55</v>
      </c>
      <c r="F357" t="s">
        <v>39</v>
      </c>
      <c r="G357" t="s">
        <v>24</v>
      </c>
      <c r="H357" t="s">
        <v>131</v>
      </c>
      <c r="I357">
        <v>4</v>
      </c>
      <c r="J357">
        <v>50879</v>
      </c>
      <c r="K357" t="s">
        <v>45</v>
      </c>
      <c r="L357">
        <v>1</v>
      </c>
      <c r="M357">
        <v>47</v>
      </c>
      <c r="N357">
        <v>5</v>
      </c>
      <c r="O357" t="s">
        <v>27</v>
      </c>
      <c r="P357" t="s">
        <v>28</v>
      </c>
      <c r="Q357">
        <v>5</v>
      </c>
      <c r="R357" t="s">
        <v>27</v>
      </c>
      <c r="S357" t="s">
        <v>28</v>
      </c>
      <c r="T357" t="b">
        <f t="shared" si="50"/>
        <v>0</v>
      </c>
      <c r="U357" t="str">
        <f t="shared" si="51"/>
        <v>Employee_0356</v>
      </c>
      <c r="V357" t="str">
        <f t="shared" si="52"/>
        <v>Female</v>
      </c>
      <c r="W357" t="str">
        <f t="shared" si="53"/>
        <v>Operations</v>
      </c>
      <c r="X357" t="str">
        <f t="shared" si="54"/>
        <v>Pune</v>
      </c>
      <c r="Y357" t="str">
        <f t="shared" si="55"/>
        <v>Valid</v>
      </c>
      <c r="Z357" t="str">
        <f t="shared" si="56"/>
        <v>Valid</v>
      </c>
      <c r="AA357" t="str">
        <f t="shared" si="57"/>
        <v>Valid</v>
      </c>
      <c r="AB357" s="9" t="str">
        <f t="shared" si="58"/>
        <v>Valid</v>
      </c>
      <c r="AC357" s="9" t="str">
        <f t="shared" si="59"/>
        <v>Valid</v>
      </c>
      <c r="AD357" s="9" t="str">
        <f>IF(AND(Y357="Valid",Z357="Valid",AA357="Valid",AB357="Valid",COUNTIF($A$2:A357,A357)=1),"Include","Exclude")</f>
        <v>Include</v>
      </c>
    </row>
    <row r="358" spans="1:30" x14ac:dyDescent="0.35">
      <c r="A358" t="s">
        <v>765</v>
      </c>
      <c r="B358" t="s">
        <v>766</v>
      </c>
      <c r="C358" t="s">
        <v>21</v>
      </c>
      <c r="D358">
        <v>36</v>
      </c>
      <c r="E358" t="s">
        <v>55</v>
      </c>
      <c r="F358" t="s">
        <v>60</v>
      </c>
      <c r="G358" t="s">
        <v>69</v>
      </c>
      <c r="H358" t="s">
        <v>49</v>
      </c>
      <c r="I358">
        <v>9</v>
      </c>
      <c r="J358">
        <v>73540</v>
      </c>
      <c r="K358" t="s">
        <v>26</v>
      </c>
      <c r="L358">
        <v>10</v>
      </c>
      <c r="M358">
        <v>18</v>
      </c>
      <c r="N358">
        <v>5</v>
      </c>
      <c r="O358" t="s">
        <v>27</v>
      </c>
      <c r="P358" t="s">
        <v>28</v>
      </c>
      <c r="Q358">
        <v>1</v>
      </c>
      <c r="R358" t="s">
        <v>27</v>
      </c>
      <c r="S358" t="s">
        <v>27</v>
      </c>
      <c r="T358" t="b">
        <f t="shared" si="50"/>
        <v>0</v>
      </c>
      <c r="U358" t="str">
        <f t="shared" si="51"/>
        <v>Employee_0357</v>
      </c>
      <c r="V358" t="str">
        <f t="shared" si="52"/>
        <v>Female</v>
      </c>
      <c r="W358" t="str">
        <f t="shared" si="53"/>
        <v>Hr</v>
      </c>
      <c r="X358" t="str">
        <f t="shared" si="54"/>
        <v>Delhi</v>
      </c>
      <c r="Y358" t="str">
        <f t="shared" si="55"/>
        <v>Valid</v>
      </c>
      <c r="Z358" t="str">
        <f t="shared" si="56"/>
        <v>Valid</v>
      </c>
      <c r="AA358" t="str">
        <f t="shared" si="57"/>
        <v>Valid</v>
      </c>
      <c r="AB358" s="9" t="str">
        <f t="shared" si="58"/>
        <v>Valid</v>
      </c>
      <c r="AC358" s="9" t="str">
        <f t="shared" si="59"/>
        <v>Valid</v>
      </c>
      <c r="AD358" s="9" t="str">
        <f>IF(AND(Y358="Valid",Z358="Valid",AA358="Valid",AB358="Valid",COUNTIF($A$2:A358,A358)=1),"Include","Exclude")</f>
        <v>Include</v>
      </c>
    </row>
    <row r="359" spans="1:30" x14ac:dyDescent="0.35">
      <c r="A359" t="s">
        <v>767</v>
      </c>
      <c r="B359" t="s">
        <v>768</v>
      </c>
      <c r="C359" t="s">
        <v>21</v>
      </c>
      <c r="D359">
        <v>46</v>
      </c>
      <c r="E359" t="s">
        <v>38</v>
      </c>
      <c r="F359" t="s">
        <v>64</v>
      </c>
      <c r="G359" t="s">
        <v>24</v>
      </c>
      <c r="H359" t="s">
        <v>131</v>
      </c>
      <c r="I359">
        <v>16</v>
      </c>
      <c r="J359">
        <v>65916</v>
      </c>
      <c r="K359" t="s">
        <v>45</v>
      </c>
      <c r="L359">
        <v>9</v>
      </c>
      <c r="M359">
        <v>11</v>
      </c>
      <c r="N359">
        <v>3</v>
      </c>
      <c r="O359" t="s">
        <v>28</v>
      </c>
      <c r="P359" t="s">
        <v>28</v>
      </c>
      <c r="Q359">
        <v>2</v>
      </c>
      <c r="R359" t="s">
        <v>28</v>
      </c>
      <c r="S359" t="s">
        <v>27</v>
      </c>
      <c r="T359" t="b">
        <f t="shared" si="50"/>
        <v>0</v>
      </c>
      <c r="U359" t="str">
        <f t="shared" si="51"/>
        <v>Employee_0358</v>
      </c>
      <c r="V359" t="str">
        <f t="shared" si="52"/>
        <v>Female</v>
      </c>
      <c r="W359" t="str">
        <f t="shared" si="53"/>
        <v>Marketing</v>
      </c>
      <c r="X359" t="str">
        <f t="shared" si="54"/>
        <v>Pune</v>
      </c>
      <c r="Y359" t="str">
        <f t="shared" si="55"/>
        <v>Valid</v>
      </c>
      <c r="Z359" t="str">
        <f t="shared" si="56"/>
        <v>Valid</v>
      </c>
      <c r="AA359" t="str">
        <f t="shared" si="57"/>
        <v>Valid</v>
      </c>
      <c r="AB359" s="9" t="str">
        <f t="shared" si="58"/>
        <v>Valid</v>
      </c>
      <c r="AC359" s="9" t="str">
        <f t="shared" si="59"/>
        <v>Valid</v>
      </c>
      <c r="AD359" s="9" t="str">
        <f>IF(AND(Y359="Valid",Z359="Valid",AA359="Valid",AB359="Valid",COUNTIF($A$2:A359,A359)=1),"Include","Exclude")</f>
        <v>Include</v>
      </c>
    </row>
    <row r="360" spans="1:30" x14ac:dyDescent="0.35">
      <c r="A360" t="s">
        <v>769</v>
      </c>
      <c r="B360" t="s">
        <v>770</v>
      </c>
      <c r="C360" t="s">
        <v>31</v>
      </c>
      <c r="D360">
        <v>36</v>
      </c>
      <c r="E360" t="s">
        <v>38</v>
      </c>
      <c r="F360" t="s">
        <v>48</v>
      </c>
      <c r="G360" t="s">
        <v>24</v>
      </c>
      <c r="H360" t="s">
        <v>61</v>
      </c>
      <c r="I360">
        <v>6</v>
      </c>
      <c r="J360">
        <v>51316</v>
      </c>
      <c r="K360" t="s">
        <v>35</v>
      </c>
      <c r="L360">
        <v>9</v>
      </c>
      <c r="M360">
        <v>42</v>
      </c>
      <c r="N360">
        <v>7</v>
      </c>
      <c r="O360" t="s">
        <v>28</v>
      </c>
      <c r="P360" t="s">
        <v>27</v>
      </c>
      <c r="Q360">
        <v>5</v>
      </c>
      <c r="R360" t="s">
        <v>28</v>
      </c>
      <c r="S360" t="s">
        <v>27</v>
      </c>
      <c r="T360" t="b">
        <f t="shared" si="50"/>
        <v>0</v>
      </c>
      <c r="U360" t="str">
        <f t="shared" si="51"/>
        <v>Employee_0359</v>
      </c>
      <c r="V360" t="str">
        <f t="shared" si="52"/>
        <v>Male</v>
      </c>
      <c r="W360" t="str">
        <f t="shared" si="53"/>
        <v>Customer Support</v>
      </c>
      <c r="X360" t="str">
        <f t="shared" si="54"/>
        <v>Noida</v>
      </c>
      <c r="Y360" t="str">
        <f t="shared" si="55"/>
        <v>Valid</v>
      </c>
      <c r="Z360" t="str">
        <f t="shared" si="56"/>
        <v>Valid</v>
      </c>
      <c r="AA360" t="str">
        <f t="shared" si="57"/>
        <v>Valid</v>
      </c>
      <c r="AB360" s="9" t="str">
        <f t="shared" si="58"/>
        <v>Valid</v>
      </c>
      <c r="AC360" s="9" t="str">
        <f t="shared" si="59"/>
        <v>Valid</v>
      </c>
      <c r="AD360" s="9" t="str">
        <f>IF(AND(Y360="Valid",Z360="Valid",AA360="Valid",AB360="Valid",COUNTIF($A$2:A360,A360)=1),"Include","Exclude")</f>
        <v>Include</v>
      </c>
    </row>
    <row r="361" spans="1:30" x14ac:dyDescent="0.35">
      <c r="A361" t="s">
        <v>771</v>
      </c>
      <c r="B361" t="s">
        <v>772</v>
      </c>
      <c r="C361" t="s">
        <v>21</v>
      </c>
      <c r="D361">
        <v>38</v>
      </c>
      <c r="E361" t="s">
        <v>55</v>
      </c>
      <c r="F361" t="s">
        <v>23</v>
      </c>
      <c r="G361" t="s">
        <v>24</v>
      </c>
      <c r="H361" t="s">
        <v>70</v>
      </c>
      <c r="I361">
        <v>7</v>
      </c>
      <c r="J361">
        <v>77112</v>
      </c>
      <c r="K361" t="s">
        <v>45</v>
      </c>
      <c r="L361">
        <v>7</v>
      </c>
      <c r="M361">
        <v>41</v>
      </c>
      <c r="N361">
        <v>4</v>
      </c>
      <c r="O361" t="s">
        <v>27</v>
      </c>
      <c r="P361" t="s">
        <v>28</v>
      </c>
      <c r="Q361">
        <v>5</v>
      </c>
      <c r="R361" t="s">
        <v>27</v>
      </c>
      <c r="S361" t="s">
        <v>27</v>
      </c>
      <c r="T361" t="b">
        <f t="shared" si="50"/>
        <v>0</v>
      </c>
      <c r="U361" t="str">
        <f t="shared" si="51"/>
        <v>Employee_0360</v>
      </c>
      <c r="V361" t="str">
        <f t="shared" si="52"/>
        <v>Female</v>
      </c>
      <c r="W361" t="str">
        <f t="shared" si="53"/>
        <v>Finance</v>
      </c>
      <c r="X361" t="str">
        <f t="shared" si="54"/>
        <v>Bangalore</v>
      </c>
      <c r="Y361" t="str">
        <f t="shared" si="55"/>
        <v>Valid</v>
      </c>
      <c r="Z361" t="str">
        <f t="shared" si="56"/>
        <v>Valid</v>
      </c>
      <c r="AA361" t="str">
        <f t="shared" si="57"/>
        <v>Valid</v>
      </c>
      <c r="AB361" s="9" t="str">
        <f t="shared" si="58"/>
        <v>Valid</v>
      </c>
      <c r="AC361" s="9" t="str">
        <f t="shared" si="59"/>
        <v>Valid</v>
      </c>
      <c r="AD361" s="9" t="str">
        <f>IF(AND(Y361="Valid",Z361="Valid",AA361="Valid",AB361="Valid",COUNTIF($A$2:A361,A361)=1),"Include","Exclude")</f>
        <v>Include</v>
      </c>
    </row>
    <row r="362" spans="1:30" x14ac:dyDescent="0.35">
      <c r="A362" t="s">
        <v>773</v>
      </c>
      <c r="B362" t="s">
        <v>774</v>
      </c>
      <c r="C362" t="s">
        <v>21</v>
      </c>
      <c r="D362">
        <v>34</v>
      </c>
      <c r="E362" t="s">
        <v>55</v>
      </c>
      <c r="F362" t="s">
        <v>48</v>
      </c>
      <c r="G362" t="s">
        <v>24</v>
      </c>
      <c r="H362" t="s">
        <v>70</v>
      </c>
      <c r="I362">
        <v>10</v>
      </c>
      <c r="J362">
        <v>58225</v>
      </c>
      <c r="K362" t="s">
        <v>45</v>
      </c>
      <c r="L362">
        <v>3</v>
      </c>
      <c r="M362">
        <v>27</v>
      </c>
      <c r="N362">
        <v>6</v>
      </c>
      <c r="O362" t="s">
        <v>27</v>
      </c>
      <c r="P362" t="s">
        <v>27</v>
      </c>
      <c r="Q362">
        <v>1</v>
      </c>
      <c r="R362" t="s">
        <v>28</v>
      </c>
      <c r="S362" t="s">
        <v>27</v>
      </c>
      <c r="T362" t="b">
        <f t="shared" si="50"/>
        <v>0</v>
      </c>
      <c r="U362" t="str">
        <f t="shared" si="51"/>
        <v>Employee_0361</v>
      </c>
      <c r="V362" t="str">
        <f t="shared" si="52"/>
        <v>Female</v>
      </c>
      <c r="W362" t="str">
        <f t="shared" si="53"/>
        <v>Customer Support</v>
      </c>
      <c r="X362" t="str">
        <f t="shared" si="54"/>
        <v>Bangalore</v>
      </c>
      <c r="Y362" t="str">
        <f t="shared" si="55"/>
        <v>Valid</v>
      </c>
      <c r="Z362" t="str">
        <f t="shared" si="56"/>
        <v>Valid</v>
      </c>
      <c r="AA362" t="str">
        <f t="shared" si="57"/>
        <v>Valid</v>
      </c>
      <c r="AB362" s="9" t="str">
        <f t="shared" si="58"/>
        <v>Valid</v>
      </c>
      <c r="AC362" s="9" t="str">
        <f t="shared" si="59"/>
        <v>Valid</v>
      </c>
      <c r="AD362" s="9" t="str">
        <f>IF(AND(Y362="Valid",Z362="Valid",AA362="Valid",AB362="Valid",COUNTIF($A$2:A362,A362)=1),"Include","Exclude")</f>
        <v>Include</v>
      </c>
    </row>
    <row r="363" spans="1:30" x14ac:dyDescent="0.35">
      <c r="A363" t="s">
        <v>775</v>
      </c>
      <c r="B363" t="s">
        <v>776</v>
      </c>
      <c r="C363" t="s">
        <v>21</v>
      </c>
      <c r="D363">
        <v>39</v>
      </c>
      <c r="E363" t="s">
        <v>22</v>
      </c>
      <c r="F363" t="s">
        <v>33</v>
      </c>
      <c r="G363" t="s">
        <v>69</v>
      </c>
      <c r="H363" t="s">
        <v>25</v>
      </c>
      <c r="I363">
        <v>14</v>
      </c>
      <c r="J363">
        <v>69782</v>
      </c>
      <c r="K363" t="s">
        <v>35</v>
      </c>
      <c r="L363">
        <v>7</v>
      </c>
      <c r="M363">
        <v>12</v>
      </c>
      <c r="N363">
        <v>4</v>
      </c>
      <c r="O363" t="s">
        <v>28</v>
      </c>
      <c r="P363" t="s">
        <v>27</v>
      </c>
      <c r="Q363">
        <v>5</v>
      </c>
      <c r="R363" t="s">
        <v>28</v>
      </c>
      <c r="S363" t="s">
        <v>27</v>
      </c>
      <c r="T363" t="b">
        <f t="shared" si="50"/>
        <v>0</v>
      </c>
      <c r="U363" t="str">
        <f t="shared" si="51"/>
        <v>Employee_0362</v>
      </c>
      <c r="V363" t="str">
        <f t="shared" si="52"/>
        <v>Female</v>
      </c>
      <c r="W363" t="str">
        <f t="shared" si="53"/>
        <v>Sales</v>
      </c>
      <c r="X363" t="str">
        <f t="shared" si="54"/>
        <v>Hyderabad</v>
      </c>
      <c r="Y363" t="str">
        <f t="shared" si="55"/>
        <v>Valid</v>
      </c>
      <c r="Z363" t="str">
        <f t="shared" si="56"/>
        <v>Valid</v>
      </c>
      <c r="AA363" t="str">
        <f t="shared" si="57"/>
        <v>Valid</v>
      </c>
      <c r="AB363" s="9" t="str">
        <f t="shared" si="58"/>
        <v>Valid</v>
      </c>
      <c r="AC363" s="9" t="str">
        <f t="shared" si="59"/>
        <v>Valid</v>
      </c>
      <c r="AD363" s="9" t="str">
        <f>IF(AND(Y363="Valid",Z363="Valid",AA363="Valid",AB363="Valid",COUNTIF($A$2:A363,A363)=1),"Include","Exclude")</f>
        <v>Include</v>
      </c>
    </row>
    <row r="364" spans="1:30" x14ac:dyDescent="0.35">
      <c r="A364" t="s">
        <v>777</v>
      </c>
      <c r="B364" t="s">
        <v>778</v>
      </c>
      <c r="C364" t="s">
        <v>21</v>
      </c>
      <c r="D364">
        <v>35</v>
      </c>
      <c r="E364" t="s">
        <v>55</v>
      </c>
      <c r="F364" t="s">
        <v>48</v>
      </c>
      <c r="G364" t="s">
        <v>24</v>
      </c>
      <c r="H364" t="s">
        <v>61</v>
      </c>
      <c r="I364">
        <v>11</v>
      </c>
      <c r="J364">
        <v>44637</v>
      </c>
      <c r="K364" t="s">
        <v>26</v>
      </c>
      <c r="L364">
        <v>9</v>
      </c>
      <c r="M364">
        <v>17</v>
      </c>
      <c r="N364">
        <v>0</v>
      </c>
      <c r="O364" t="s">
        <v>28</v>
      </c>
      <c r="P364" t="s">
        <v>27</v>
      </c>
      <c r="Q364">
        <v>1</v>
      </c>
      <c r="R364" t="s">
        <v>27</v>
      </c>
      <c r="S364" t="s">
        <v>27</v>
      </c>
      <c r="T364" t="b">
        <f t="shared" si="50"/>
        <v>0</v>
      </c>
      <c r="U364" t="str">
        <f t="shared" si="51"/>
        <v>Employee_0363</v>
      </c>
      <c r="V364" t="str">
        <f t="shared" si="52"/>
        <v>Female</v>
      </c>
      <c r="W364" t="str">
        <f t="shared" si="53"/>
        <v>Customer Support</v>
      </c>
      <c r="X364" t="str">
        <f t="shared" si="54"/>
        <v>Noida</v>
      </c>
      <c r="Y364" t="str">
        <f t="shared" si="55"/>
        <v>Valid</v>
      </c>
      <c r="Z364" t="str">
        <f t="shared" si="56"/>
        <v>Valid</v>
      </c>
      <c r="AA364" t="str">
        <f t="shared" si="57"/>
        <v>Valid</v>
      </c>
      <c r="AB364" s="9" t="str">
        <f t="shared" si="58"/>
        <v>Valid</v>
      </c>
      <c r="AC364" s="9" t="str">
        <f t="shared" si="59"/>
        <v>Valid</v>
      </c>
      <c r="AD364" s="9" t="str">
        <f>IF(AND(Y364="Valid",Z364="Valid",AA364="Valid",AB364="Valid",COUNTIF($A$2:A364,A364)=1),"Include","Exclude")</f>
        <v>Include</v>
      </c>
    </row>
    <row r="365" spans="1:30" x14ac:dyDescent="0.35">
      <c r="A365" t="s">
        <v>779</v>
      </c>
      <c r="B365" t="s">
        <v>780</v>
      </c>
      <c r="C365" t="s">
        <v>21</v>
      </c>
      <c r="D365">
        <v>23</v>
      </c>
      <c r="E365" t="s">
        <v>55</v>
      </c>
      <c r="F365" t="s">
        <v>23</v>
      </c>
      <c r="G365" t="s">
        <v>24</v>
      </c>
      <c r="H365" t="s">
        <v>25</v>
      </c>
      <c r="I365">
        <v>1</v>
      </c>
      <c r="J365">
        <v>57994</v>
      </c>
      <c r="K365" t="s">
        <v>26</v>
      </c>
      <c r="L365">
        <v>7</v>
      </c>
      <c r="M365">
        <v>17</v>
      </c>
      <c r="N365">
        <v>4</v>
      </c>
      <c r="O365" t="s">
        <v>27</v>
      </c>
      <c r="P365" t="s">
        <v>27</v>
      </c>
      <c r="Q365">
        <v>4</v>
      </c>
      <c r="R365" t="s">
        <v>27</v>
      </c>
      <c r="S365" t="s">
        <v>27</v>
      </c>
      <c r="T365" t="b">
        <f t="shared" si="50"/>
        <v>0</v>
      </c>
      <c r="U365" t="str">
        <f t="shared" si="51"/>
        <v>Employee_0364</v>
      </c>
      <c r="V365" t="str">
        <f t="shared" si="52"/>
        <v>Female</v>
      </c>
      <c r="W365" t="str">
        <f t="shared" si="53"/>
        <v>Finance</v>
      </c>
      <c r="X365" t="str">
        <f t="shared" si="54"/>
        <v>Hyderabad</v>
      </c>
      <c r="Y365" t="str">
        <f t="shared" si="55"/>
        <v>Valid</v>
      </c>
      <c r="Z365" t="str">
        <f t="shared" si="56"/>
        <v>Valid</v>
      </c>
      <c r="AA365" t="str">
        <f t="shared" si="57"/>
        <v>Valid</v>
      </c>
      <c r="AB365" s="9" t="str">
        <f t="shared" si="58"/>
        <v>Valid</v>
      </c>
      <c r="AC365" s="9" t="str">
        <f t="shared" si="59"/>
        <v>Valid</v>
      </c>
      <c r="AD365" s="9" t="str">
        <f>IF(AND(Y365="Valid",Z365="Valid",AA365="Valid",AB365="Valid",COUNTIF($A$2:A365,A365)=1),"Include","Exclude")</f>
        <v>Include</v>
      </c>
    </row>
    <row r="366" spans="1:30" x14ac:dyDescent="0.35">
      <c r="A366" t="s">
        <v>781</v>
      </c>
      <c r="B366" t="s">
        <v>782</v>
      </c>
      <c r="C366" t="s">
        <v>21</v>
      </c>
      <c r="D366">
        <v>54</v>
      </c>
      <c r="E366" t="s">
        <v>38</v>
      </c>
      <c r="F366" t="s">
        <v>60</v>
      </c>
      <c r="G366" t="s">
        <v>24</v>
      </c>
      <c r="H366" t="s">
        <v>34</v>
      </c>
      <c r="I366">
        <v>23</v>
      </c>
      <c r="J366">
        <v>76234</v>
      </c>
      <c r="K366" t="s">
        <v>26</v>
      </c>
      <c r="L366">
        <v>5</v>
      </c>
      <c r="M366">
        <v>18</v>
      </c>
      <c r="N366">
        <v>6</v>
      </c>
      <c r="O366" t="s">
        <v>28</v>
      </c>
      <c r="P366" t="s">
        <v>27</v>
      </c>
      <c r="Q366">
        <v>1</v>
      </c>
      <c r="R366" t="s">
        <v>27</v>
      </c>
      <c r="S366" t="s">
        <v>27</v>
      </c>
      <c r="T366" t="b">
        <f t="shared" si="50"/>
        <v>0</v>
      </c>
      <c r="U366" t="str">
        <f t="shared" si="51"/>
        <v>Employee_0365</v>
      </c>
      <c r="V366" t="str">
        <f t="shared" si="52"/>
        <v>Female</v>
      </c>
      <c r="W366" t="str">
        <f t="shared" si="53"/>
        <v>Hr</v>
      </c>
      <c r="X366" t="str">
        <f t="shared" si="54"/>
        <v>Gurgaon</v>
      </c>
      <c r="Y366" t="str">
        <f t="shared" si="55"/>
        <v>Valid</v>
      </c>
      <c r="Z366" t="str">
        <f t="shared" si="56"/>
        <v>Valid</v>
      </c>
      <c r="AA366" t="str">
        <f t="shared" si="57"/>
        <v>Valid</v>
      </c>
      <c r="AB366" s="9" t="str">
        <f t="shared" si="58"/>
        <v>Valid</v>
      </c>
      <c r="AC366" s="9" t="str">
        <f t="shared" si="59"/>
        <v>Valid</v>
      </c>
      <c r="AD366" s="9" t="str">
        <f>IF(AND(Y366="Valid",Z366="Valid",AA366="Valid",AB366="Valid",COUNTIF($A$2:A366,A366)=1),"Include","Exclude")</f>
        <v>Include</v>
      </c>
    </row>
    <row r="367" spans="1:30" x14ac:dyDescent="0.35">
      <c r="A367" t="s">
        <v>783</v>
      </c>
      <c r="B367" t="s">
        <v>784</v>
      </c>
      <c r="C367" t="s">
        <v>21</v>
      </c>
      <c r="D367">
        <v>33</v>
      </c>
      <c r="E367" t="s">
        <v>55</v>
      </c>
      <c r="F367" t="s">
        <v>64</v>
      </c>
      <c r="G367" t="s">
        <v>24</v>
      </c>
      <c r="H367" t="s">
        <v>70</v>
      </c>
      <c r="I367">
        <v>9</v>
      </c>
      <c r="J367">
        <v>66087</v>
      </c>
      <c r="K367" t="s">
        <v>26</v>
      </c>
      <c r="L367">
        <v>7</v>
      </c>
      <c r="M367">
        <v>14</v>
      </c>
      <c r="N367">
        <v>7</v>
      </c>
      <c r="O367" t="s">
        <v>27</v>
      </c>
      <c r="P367" t="s">
        <v>28</v>
      </c>
      <c r="Q367">
        <v>1</v>
      </c>
      <c r="R367" t="s">
        <v>27</v>
      </c>
      <c r="S367" t="s">
        <v>27</v>
      </c>
      <c r="T367" t="b">
        <f t="shared" si="50"/>
        <v>0</v>
      </c>
      <c r="U367" t="str">
        <f t="shared" si="51"/>
        <v>Employee_0366</v>
      </c>
      <c r="V367" t="str">
        <f t="shared" si="52"/>
        <v>Female</v>
      </c>
      <c r="W367" t="str">
        <f t="shared" si="53"/>
        <v>Marketing</v>
      </c>
      <c r="X367" t="str">
        <f t="shared" si="54"/>
        <v>Bangalore</v>
      </c>
      <c r="Y367" t="str">
        <f t="shared" si="55"/>
        <v>Valid</v>
      </c>
      <c r="Z367" t="str">
        <f t="shared" si="56"/>
        <v>Valid</v>
      </c>
      <c r="AA367" t="str">
        <f t="shared" si="57"/>
        <v>Valid</v>
      </c>
      <c r="AB367" s="9" t="str">
        <f t="shared" si="58"/>
        <v>Valid</v>
      </c>
      <c r="AC367" s="9" t="str">
        <f t="shared" si="59"/>
        <v>Valid</v>
      </c>
      <c r="AD367" s="9" t="str">
        <f>IF(AND(Y367="Valid",Z367="Valid",AA367="Valid",AB367="Valid",COUNTIF($A$2:A367,A367)=1),"Include","Exclude")</f>
        <v>Include</v>
      </c>
    </row>
    <row r="368" spans="1:30" x14ac:dyDescent="0.35">
      <c r="A368" t="s">
        <v>785</v>
      </c>
      <c r="B368" t="s">
        <v>786</v>
      </c>
      <c r="C368" t="s">
        <v>21</v>
      </c>
      <c r="D368">
        <v>51</v>
      </c>
      <c r="E368" t="s">
        <v>55</v>
      </c>
      <c r="F368" t="s">
        <v>48</v>
      </c>
      <c r="G368" t="s">
        <v>24</v>
      </c>
      <c r="H368" t="s">
        <v>70</v>
      </c>
      <c r="I368">
        <v>23</v>
      </c>
      <c r="J368">
        <v>62185</v>
      </c>
      <c r="K368" t="s">
        <v>26</v>
      </c>
      <c r="L368">
        <v>8</v>
      </c>
      <c r="M368">
        <v>28</v>
      </c>
      <c r="N368">
        <v>5</v>
      </c>
      <c r="O368" t="s">
        <v>28</v>
      </c>
      <c r="P368" t="s">
        <v>27</v>
      </c>
      <c r="Q368">
        <v>3</v>
      </c>
      <c r="R368" t="s">
        <v>27</v>
      </c>
      <c r="S368" t="s">
        <v>27</v>
      </c>
      <c r="T368" t="b">
        <f t="shared" si="50"/>
        <v>0</v>
      </c>
      <c r="U368" t="str">
        <f t="shared" si="51"/>
        <v>Employee_0367</v>
      </c>
      <c r="V368" t="str">
        <f t="shared" si="52"/>
        <v>Female</v>
      </c>
      <c r="W368" t="str">
        <f t="shared" si="53"/>
        <v>Customer Support</v>
      </c>
      <c r="X368" t="str">
        <f t="shared" si="54"/>
        <v>Bangalore</v>
      </c>
      <c r="Y368" t="str">
        <f t="shared" si="55"/>
        <v>Valid</v>
      </c>
      <c r="Z368" t="str">
        <f t="shared" si="56"/>
        <v>Valid</v>
      </c>
      <c r="AA368" t="str">
        <f t="shared" si="57"/>
        <v>Valid</v>
      </c>
      <c r="AB368" s="9" t="str">
        <f t="shared" si="58"/>
        <v>Valid</v>
      </c>
      <c r="AC368" s="9" t="str">
        <f t="shared" si="59"/>
        <v>Valid</v>
      </c>
      <c r="AD368" s="9" t="str">
        <f>IF(AND(Y368="Valid",Z368="Valid",AA368="Valid",AB368="Valid",COUNTIF($A$2:A368,A368)=1),"Include","Exclude")</f>
        <v>Include</v>
      </c>
    </row>
    <row r="369" spans="1:30" x14ac:dyDescent="0.35">
      <c r="A369" t="s">
        <v>787</v>
      </c>
      <c r="B369" t="s">
        <v>788</v>
      </c>
      <c r="C369" t="s">
        <v>31</v>
      </c>
      <c r="D369">
        <v>50</v>
      </c>
      <c r="E369" t="s">
        <v>38</v>
      </c>
      <c r="F369" t="s">
        <v>64</v>
      </c>
      <c r="G369" t="s">
        <v>69</v>
      </c>
      <c r="H369" t="s">
        <v>34</v>
      </c>
      <c r="I369">
        <v>24</v>
      </c>
      <c r="J369">
        <v>79991</v>
      </c>
      <c r="K369" t="s">
        <v>45</v>
      </c>
      <c r="L369">
        <v>3</v>
      </c>
      <c r="M369">
        <v>17</v>
      </c>
      <c r="N369">
        <v>4</v>
      </c>
      <c r="O369" t="s">
        <v>27</v>
      </c>
      <c r="P369" t="s">
        <v>27</v>
      </c>
      <c r="Q369">
        <v>4</v>
      </c>
      <c r="R369" t="s">
        <v>27</v>
      </c>
      <c r="S369" t="s">
        <v>27</v>
      </c>
      <c r="T369" t="b">
        <f t="shared" si="50"/>
        <v>0</v>
      </c>
      <c r="U369" t="str">
        <f t="shared" si="51"/>
        <v>Employee_0368</v>
      </c>
      <c r="V369" t="str">
        <f t="shared" si="52"/>
        <v>Male</v>
      </c>
      <c r="W369" t="str">
        <f t="shared" si="53"/>
        <v>Marketing</v>
      </c>
      <c r="X369" t="str">
        <f t="shared" si="54"/>
        <v>Gurgaon</v>
      </c>
      <c r="Y369" t="str">
        <f t="shared" si="55"/>
        <v>Valid</v>
      </c>
      <c r="Z369" t="str">
        <f t="shared" si="56"/>
        <v>Valid</v>
      </c>
      <c r="AA369" t="str">
        <f t="shared" si="57"/>
        <v>Valid</v>
      </c>
      <c r="AB369" s="9" t="str">
        <f t="shared" si="58"/>
        <v>Valid</v>
      </c>
      <c r="AC369" s="9" t="str">
        <f t="shared" si="59"/>
        <v>Valid</v>
      </c>
      <c r="AD369" s="9" t="str">
        <f>IF(AND(Y369="Valid",Z369="Valid",AA369="Valid",AB369="Valid",COUNTIF($A$2:A369,A369)=1),"Include","Exclude")</f>
        <v>Include</v>
      </c>
    </row>
    <row r="370" spans="1:30" x14ac:dyDescent="0.35">
      <c r="A370" t="s">
        <v>789</v>
      </c>
      <c r="B370" t="s">
        <v>790</v>
      </c>
      <c r="C370" t="s">
        <v>31</v>
      </c>
      <c r="D370">
        <v>54</v>
      </c>
      <c r="E370" t="s">
        <v>38</v>
      </c>
      <c r="F370" t="s">
        <v>60</v>
      </c>
      <c r="G370" t="s">
        <v>24</v>
      </c>
      <c r="H370" t="s">
        <v>25</v>
      </c>
      <c r="I370">
        <v>24</v>
      </c>
      <c r="J370">
        <v>59713</v>
      </c>
      <c r="K370" t="s">
        <v>35</v>
      </c>
      <c r="L370">
        <v>1</v>
      </c>
      <c r="M370">
        <v>52</v>
      </c>
      <c r="N370">
        <v>1</v>
      </c>
      <c r="O370" t="s">
        <v>28</v>
      </c>
      <c r="P370" t="s">
        <v>28</v>
      </c>
      <c r="Q370">
        <v>1</v>
      </c>
      <c r="R370" t="s">
        <v>27</v>
      </c>
      <c r="S370" t="s">
        <v>27</v>
      </c>
      <c r="T370" t="b">
        <f t="shared" si="50"/>
        <v>0</v>
      </c>
      <c r="U370" t="str">
        <f t="shared" si="51"/>
        <v>Employee_0369</v>
      </c>
      <c r="V370" t="str">
        <f t="shared" si="52"/>
        <v>Male</v>
      </c>
      <c r="W370" t="str">
        <f t="shared" si="53"/>
        <v>Hr</v>
      </c>
      <c r="X370" t="str">
        <f t="shared" si="54"/>
        <v>Hyderabad</v>
      </c>
      <c r="Y370" t="str">
        <f t="shared" si="55"/>
        <v>Valid</v>
      </c>
      <c r="Z370" t="str">
        <f t="shared" si="56"/>
        <v>Valid</v>
      </c>
      <c r="AA370" t="str">
        <f t="shared" si="57"/>
        <v>Valid</v>
      </c>
      <c r="AB370" s="9" t="str">
        <f t="shared" si="58"/>
        <v>Valid</v>
      </c>
      <c r="AC370" s="9" t="str">
        <f t="shared" si="59"/>
        <v>Valid</v>
      </c>
      <c r="AD370" s="9" t="str">
        <f>IF(AND(Y370="Valid",Z370="Valid",AA370="Valid",AB370="Valid",COUNTIF($A$2:A370,A370)=1),"Include","Exclude")</f>
        <v>Include</v>
      </c>
    </row>
    <row r="371" spans="1:30" x14ac:dyDescent="0.35">
      <c r="A371" t="s">
        <v>791</v>
      </c>
      <c r="B371" t="s">
        <v>792</v>
      </c>
      <c r="C371" t="s">
        <v>21</v>
      </c>
      <c r="D371">
        <v>43</v>
      </c>
      <c r="E371" t="s">
        <v>55</v>
      </c>
      <c r="F371" t="s">
        <v>64</v>
      </c>
      <c r="G371" t="s">
        <v>24</v>
      </c>
      <c r="H371" t="s">
        <v>61</v>
      </c>
      <c r="I371">
        <v>10</v>
      </c>
      <c r="J371">
        <v>58448</v>
      </c>
      <c r="K371" t="s">
        <v>26</v>
      </c>
      <c r="L371">
        <v>7</v>
      </c>
      <c r="M371">
        <v>22</v>
      </c>
      <c r="N371">
        <v>8</v>
      </c>
      <c r="O371" t="s">
        <v>27</v>
      </c>
      <c r="P371" t="s">
        <v>28</v>
      </c>
      <c r="Q371">
        <v>1</v>
      </c>
      <c r="R371" t="s">
        <v>27</v>
      </c>
      <c r="S371" t="s">
        <v>27</v>
      </c>
      <c r="T371" t="b">
        <f t="shared" si="50"/>
        <v>0</v>
      </c>
      <c r="U371" t="str">
        <f t="shared" si="51"/>
        <v>Employee_0370</v>
      </c>
      <c r="V371" t="str">
        <f t="shared" si="52"/>
        <v>Female</v>
      </c>
      <c r="W371" t="str">
        <f t="shared" si="53"/>
        <v>Marketing</v>
      </c>
      <c r="X371" t="str">
        <f t="shared" si="54"/>
        <v>Noida</v>
      </c>
      <c r="Y371" t="str">
        <f t="shared" si="55"/>
        <v>Valid</v>
      </c>
      <c r="Z371" t="str">
        <f t="shared" si="56"/>
        <v>Valid</v>
      </c>
      <c r="AA371" t="str">
        <f t="shared" si="57"/>
        <v>Valid</v>
      </c>
      <c r="AB371" s="9" t="str">
        <f t="shared" si="58"/>
        <v>Valid</v>
      </c>
      <c r="AC371" s="9" t="str">
        <f t="shared" si="59"/>
        <v>Valid</v>
      </c>
      <c r="AD371" s="9" t="str">
        <f>IF(AND(Y371="Valid",Z371="Valid",AA371="Valid",AB371="Valid",COUNTIF($A$2:A371,A371)=1),"Include","Exclude")</f>
        <v>Include</v>
      </c>
    </row>
    <row r="372" spans="1:30" x14ac:dyDescent="0.35">
      <c r="A372" t="s">
        <v>793</v>
      </c>
      <c r="B372" t="s">
        <v>794</v>
      </c>
      <c r="C372" t="s">
        <v>31</v>
      </c>
      <c r="D372">
        <v>39</v>
      </c>
      <c r="E372" t="s">
        <v>55</v>
      </c>
      <c r="F372" t="s">
        <v>33</v>
      </c>
      <c r="G372" t="s">
        <v>24</v>
      </c>
      <c r="H372" t="s">
        <v>49</v>
      </c>
      <c r="I372">
        <v>45</v>
      </c>
      <c r="J372">
        <v>68842</v>
      </c>
      <c r="K372" t="s">
        <v>45</v>
      </c>
      <c r="L372">
        <v>5</v>
      </c>
      <c r="M372">
        <v>37</v>
      </c>
      <c r="N372">
        <v>6</v>
      </c>
      <c r="O372" t="s">
        <v>27</v>
      </c>
      <c r="P372" t="s">
        <v>28</v>
      </c>
      <c r="Q372">
        <v>5</v>
      </c>
      <c r="R372" t="s">
        <v>27</v>
      </c>
      <c r="S372" t="s">
        <v>27</v>
      </c>
      <c r="T372" t="b">
        <f t="shared" si="50"/>
        <v>0</v>
      </c>
      <c r="U372" t="str">
        <f t="shared" si="51"/>
        <v>Employee_0371</v>
      </c>
      <c r="V372" t="str">
        <f t="shared" si="52"/>
        <v>Male</v>
      </c>
      <c r="W372" t="str">
        <f t="shared" si="53"/>
        <v>Sales</v>
      </c>
      <c r="X372" t="str">
        <f t="shared" si="54"/>
        <v>Delhi</v>
      </c>
      <c r="Y372" t="str">
        <f t="shared" si="55"/>
        <v>Valid</v>
      </c>
      <c r="Z372" t="str">
        <f t="shared" si="56"/>
        <v>Valid</v>
      </c>
      <c r="AA372" t="str">
        <f t="shared" si="57"/>
        <v>Valid</v>
      </c>
      <c r="AB372" s="9" t="str">
        <f t="shared" si="58"/>
        <v>Valid</v>
      </c>
      <c r="AC372" s="9" t="str">
        <f t="shared" si="59"/>
        <v>Valid</v>
      </c>
      <c r="AD372" s="9" t="str">
        <f>IF(AND(Y372="Valid",Z372="Valid",AA372="Valid",AB372="Valid",COUNTIF($A$2:A372,A372)=1),"Include","Exclude")</f>
        <v>Include</v>
      </c>
    </row>
    <row r="373" spans="1:30" x14ac:dyDescent="0.35">
      <c r="A373" t="s">
        <v>795</v>
      </c>
      <c r="B373" t="s">
        <v>796</v>
      </c>
      <c r="C373" t="s">
        <v>21</v>
      </c>
      <c r="D373">
        <v>43</v>
      </c>
      <c r="E373" t="s">
        <v>55</v>
      </c>
      <c r="F373" t="s">
        <v>64</v>
      </c>
      <c r="G373" t="s">
        <v>24</v>
      </c>
      <c r="H373" t="s">
        <v>131</v>
      </c>
      <c r="I373">
        <v>17</v>
      </c>
      <c r="J373">
        <v>60376</v>
      </c>
      <c r="K373" t="s">
        <v>45</v>
      </c>
      <c r="L373">
        <v>3</v>
      </c>
      <c r="M373">
        <v>32</v>
      </c>
      <c r="N373">
        <v>3</v>
      </c>
      <c r="O373" t="s">
        <v>28</v>
      </c>
      <c r="P373" t="s">
        <v>28</v>
      </c>
      <c r="Q373">
        <v>3</v>
      </c>
      <c r="R373" t="s">
        <v>27</v>
      </c>
      <c r="S373" t="s">
        <v>27</v>
      </c>
      <c r="T373" t="b">
        <f t="shared" si="50"/>
        <v>0</v>
      </c>
      <c r="U373" t="str">
        <f t="shared" si="51"/>
        <v>Employee_0372</v>
      </c>
      <c r="V373" t="str">
        <f t="shared" si="52"/>
        <v>Female</v>
      </c>
      <c r="W373" t="str">
        <f t="shared" si="53"/>
        <v>Marketing</v>
      </c>
      <c r="X373" t="str">
        <f t="shared" si="54"/>
        <v>Pune</v>
      </c>
      <c r="Y373" t="str">
        <f t="shared" si="55"/>
        <v>Valid</v>
      </c>
      <c r="Z373" t="str">
        <f t="shared" si="56"/>
        <v>Valid</v>
      </c>
      <c r="AA373" t="str">
        <f t="shared" si="57"/>
        <v>Valid</v>
      </c>
      <c r="AB373" s="9" t="str">
        <f t="shared" si="58"/>
        <v>Valid</v>
      </c>
      <c r="AC373" s="9" t="str">
        <f t="shared" si="59"/>
        <v>Valid</v>
      </c>
      <c r="AD373" s="9" t="str">
        <f>IF(AND(Y373="Valid",Z373="Valid",AA373="Valid",AB373="Valid",COUNTIF($A$2:A373,A373)=1),"Include","Exclude")</f>
        <v>Include</v>
      </c>
    </row>
    <row r="374" spans="1:30" x14ac:dyDescent="0.35">
      <c r="A374" t="s">
        <v>797</v>
      </c>
      <c r="B374" t="s">
        <v>798</v>
      </c>
      <c r="C374" t="s">
        <v>21</v>
      </c>
      <c r="D374">
        <v>41</v>
      </c>
      <c r="E374" t="s">
        <v>55</v>
      </c>
      <c r="F374" t="s">
        <v>43</v>
      </c>
      <c r="G374" t="s">
        <v>24</v>
      </c>
      <c r="H374" t="s">
        <v>131</v>
      </c>
      <c r="I374">
        <v>13</v>
      </c>
      <c r="J374">
        <v>74914</v>
      </c>
      <c r="K374" t="s">
        <v>45</v>
      </c>
      <c r="L374">
        <v>7</v>
      </c>
      <c r="M374">
        <v>21</v>
      </c>
      <c r="N374">
        <v>2</v>
      </c>
      <c r="O374" t="s">
        <v>28</v>
      </c>
      <c r="P374" t="s">
        <v>27</v>
      </c>
      <c r="Q374">
        <v>5</v>
      </c>
      <c r="R374" t="s">
        <v>28</v>
      </c>
      <c r="S374" t="s">
        <v>27</v>
      </c>
      <c r="T374" t="b">
        <f t="shared" si="50"/>
        <v>0</v>
      </c>
      <c r="U374" t="str">
        <f t="shared" si="51"/>
        <v>Employee_0373</v>
      </c>
      <c r="V374" t="str">
        <f t="shared" si="52"/>
        <v>Female</v>
      </c>
      <c r="W374" t="str">
        <f t="shared" si="53"/>
        <v>It</v>
      </c>
      <c r="X374" t="str">
        <f t="shared" si="54"/>
        <v>Pune</v>
      </c>
      <c r="Y374" t="str">
        <f t="shared" si="55"/>
        <v>Valid</v>
      </c>
      <c r="Z374" t="str">
        <f t="shared" si="56"/>
        <v>Valid</v>
      </c>
      <c r="AA374" t="str">
        <f t="shared" si="57"/>
        <v>Valid</v>
      </c>
      <c r="AB374" s="9" t="str">
        <f t="shared" si="58"/>
        <v>Valid</v>
      </c>
      <c r="AC374" s="9" t="str">
        <f t="shared" si="59"/>
        <v>Valid</v>
      </c>
      <c r="AD374" s="9" t="str">
        <f>IF(AND(Y374="Valid",Z374="Valid",AA374="Valid",AB374="Valid",COUNTIF($A$2:A374,A374)=1),"Include","Exclude")</f>
        <v>Include</v>
      </c>
    </row>
    <row r="375" spans="1:30" x14ac:dyDescent="0.35">
      <c r="A375" t="s">
        <v>799</v>
      </c>
      <c r="B375" t="s">
        <v>800</v>
      </c>
      <c r="C375" t="s">
        <v>21</v>
      </c>
      <c r="D375">
        <v>29</v>
      </c>
      <c r="E375" t="s">
        <v>55</v>
      </c>
      <c r="F375" t="s">
        <v>43</v>
      </c>
      <c r="G375" t="s">
        <v>24</v>
      </c>
      <c r="H375" t="s">
        <v>61</v>
      </c>
      <c r="I375">
        <v>3</v>
      </c>
      <c r="J375">
        <v>58101</v>
      </c>
      <c r="K375" t="s">
        <v>35</v>
      </c>
      <c r="L375">
        <v>7</v>
      </c>
      <c r="M375">
        <v>14</v>
      </c>
      <c r="N375">
        <v>6</v>
      </c>
      <c r="O375" t="s">
        <v>27</v>
      </c>
      <c r="P375" t="s">
        <v>28</v>
      </c>
      <c r="Q375">
        <v>4</v>
      </c>
      <c r="R375" t="s">
        <v>27</v>
      </c>
      <c r="S375" t="s">
        <v>27</v>
      </c>
      <c r="T375" t="b">
        <f t="shared" si="50"/>
        <v>0</v>
      </c>
      <c r="U375" t="str">
        <f t="shared" si="51"/>
        <v>Employee_0374</v>
      </c>
      <c r="V375" t="str">
        <f t="shared" si="52"/>
        <v>Female</v>
      </c>
      <c r="W375" t="str">
        <f t="shared" si="53"/>
        <v>It</v>
      </c>
      <c r="X375" t="str">
        <f t="shared" si="54"/>
        <v>Noida</v>
      </c>
      <c r="Y375" t="str">
        <f t="shared" si="55"/>
        <v>Valid</v>
      </c>
      <c r="Z375" t="str">
        <f t="shared" si="56"/>
        <v>Valid</v>
      </c>
      <c r="AA375" t="str">
        <f t="shared" si="57"/>
        <v>Valid</v>
      </c>
      <c r="AB375" s="9" t="str">
        <f t="shared" si="58"/>
        <v>Valid</v>
      </c>
      <c r="AC375" s="9" t="str">
        <f t="shared" si="59"/>
        <v>Valid</v>
      </c>
      <c r="AD375" s="9" t="str">
        <f>IF(AND(Y375="Valid",Z375="Valid",AA375="Valid",AB375="Valid",COUNTIF($A$2:A375,A375)=1),"Include","Exclude")</f>
        <v>Include</v>
      </c>
    </row>
    <row r="376" spans="1:30" x14ac:dyDescent="0.35">
      <c r="A376" t="s">
        <v>801</v>
      </c>
      <c r="B376" t="s">
        <v>802</v>
      </c>
      <c r="C376" t="s">
        <v>31</v>
      </c>
      <c r="D376">
        <v>27</v>
      </c>
      <c r="E376" t="s">
        <v>22</v>
      </c>
      <c r="F376" t="s">
        <v>33</v>
      </c>
      <c r="G376" t="s">
        <v>24</v>
      </c>
      <c r="H376" t="s">
        <v>25</v>
      </c>
      <c r="I376">
        <v>2</v>
      </c>
      <c r="J376">
        <v>48447</v>
      </c>
      <c r="K376" t="s">
        <v>45</v>
      </c>
      <c r="L376">
        <v>1</v>
      </c>
      <c r="M376">
        <v>30</v>
      </c>
      <c r="N376">
        <v>7</v>
      </c>
      <c r="O376" t="s">
        <v>28</v>
      </c>
      <c r="P376" t="s">
        <v>28</v>
      </c>
      <c r="Q376">
        <v>5</v>
      </c>
      <c r="R376" t="s">
        <v>27</v>
      </c>
      <c r="S376" t="s">
        <v>27</v>
      </c>
      <c r="T376" t="b">
        <f t="shared" si="50"/>
        <v>0</v>
      </c>
      <c r="U376" t="str">
        <f t="shared" si="51"/>
        <v>Employee_0375</v>
      </c>
      <c r="V376" t="str">
        <f t="shared" si="52"/>
        <v>Male</v>
      </c>
      <c r="W376" t="str">
        <f t="shared" si="53"/>
        <v>Sales</v>
      </c>
      <c r="X376" t="str">
        <f t="shared" si="54"/>
        <v>Hyderabad</v>
      </c>
      <c r="Y376" t="str">
        <f t="shared" si="55"/>
        <v>Valid</v>
      </c>
      <c r="Z376" t="str">
        <f t="shared" si="56"/>
        <v>Valid</v>
      </c>
      <c r="AA376" t="str">
        <f t="shared" si="57"/>
        <v>Valid</v>
      </c>
      <c r="AB376" s="9" t="str">
        <f t="shared" si="58"/>
        <v>Valid</v>
      </c>
      <c r="AC376" s="9" t="str">
        <f t="shared" si="59"/>
        <v>Valid</v>
      </c>
      <c r="AD376" s="9" t="str">
        <f>IF(AND(Y376="Valid",Z376="Valid",AA376="Valid",AB376="Valid",COUNTIF($A$2:A376,A376)=1),"Include","Exclude")</f>
        <v>Include</v>
      </c>
    </row>
    <row r="377" spans="1:30" x14ac:dyDescent="0.35">
      <c r="A377" t="s">
        <v>803</v>
      </c>
      <c r="B377" t="s">
        <v>804</v>
      </c>
      <c r="C377" t="s">
        <v>31</v>
      </c>
      <c r="D377">
        <v>50</v>
      </c>
      <c r="E377" t="s">
        <v>38</v>
      </c>
      <c r="F377" t="s">
        <v>39</v>
      </c>
      <c r="G377" t="s">
        <v>24</v>
      </c>
      <c r="H377" t="s">
        <v>25</v>
      </c>
      <c r="I377">
        <v>21</v>
      </c>
      <c r="J377">
        <v>74538</v>
      </c>
      <c r="K377" t="s">
        <v>45</v>
      </c>
      <c r="L377">
        <v>5</v>
      </c>
      <c r="M377">
        <v>33</v>
      </c>
      <c r="N377">
        <v>8</v>
      </c>
      <c r="O377" t="s">
        <v>27</v>
      </c>
      <c r="P377" t="s">
        <v>27</v>
      </c>
      <c r="Q377">
        <v>5</v>
      </c>
      <c r="R377" t="s">
        <v>27</v>
      </c>
      <c r="S377" t="s">
        <v>27</v>
      </c>
      <c r="T377" t="b">
        <f t="shared" si="50"/>
        <v>0</v>
      </c>
      <c r="U377" t="str">
        <f t="shared" si="51"/>
        <v>Employee_0376</v>
      </c>
      <c r="V377" t="str">
        <f t="shared" si="52"/>
        <v>Male</v>
      </c>
      <c r="W377" t="str">
        <f t="shared" si="53"/>
        <v>Operations</v>
      </c>
      <c r="X377" t="str">
        <f t="shared" si="54"/>
        <v>Hyderabad</v>
      </c>
      <c r="Y377" t="str">
        <f t="shared" si="55"/>
        <v>Valid</v>
      </c>
      <c r="Z377" t="str">
        <f t="shared" si="56"/>
        <v>Valid</v>
      </c>
      <c r="AA377" t="str">
        <f t="shared" si="57"/>
        <v>Valid</v>
      </c>
      <c r="AB377" s="9" t="str">
        <f t="shared" si="58"/>
        <v>Valid</v>
      </c>
      <c r="AC377" s="9" t="str">
        <f t="shared" si="59"/>
        <v>Valid</v>
      </c>
      <c r="AD377" s="9" t="str">
        <f>IF(AND(Y377="Valid",Z377="Valid",AA377="Valid",AB377="Valid",COUNTIF($A$2:A377,A377)=1),"Include","Exclude")</f>
        <v>Include</v>
      </c>
    </row>
    <row r="378" spans="1:30" x14ac:dyDescent="0.35">
      <c r="A378" t="s">
        <v>805</v>
      </c>
      <c r="B378" t="s">
        <v>806</v>
      </c>
      <c r="C378" t="s">
        <v>31</v>
      </c>
      <c r="D378">
        <v>48</v>
      </c>
      <c r="E378" t="s">
        <v>38</v>
      </c>
      <c r="F378" t="s">
        <v>33</v>
      </c>
      <c r="G378" t="s">
        <v>24</v>
      </c>
      <c r="H378" t="s">
        <v>61</v>
      </c>
      <c r="I378">
        <v>13</v>
      </c>
      <c r="J378">
        <v>55444</v>
      </c>
      <c r="K378" t="s">
        <v>26</v>
      </c>
      <c r="L378">
        <v>4</v>
      </c>
      <c r="M378">
        <v>26</v>
      </c>
      <c r="N378">
        <v>3</v>
      </c>
      <c r="O378" t="s">
        <v>27</v>
      </c>
      <c r="P378" t="s">
        <v>27</v>
      </c>
      <c r="Q378">
        <v>5</v>
      </c>
      <c r="R378" t="s">
        <v>27</v>
      </c>
      <c r="S378" t="s">
        <v>27</v>
      </c>
      <c r="T378" t="b">
        <f t="shared" si="50"/>
        <v>0</v>
      </c>
      <c r="U378" t="str">
        <f t="shared" si="51"/>
        <v>Employee_0377</v>
      </c>
      <c r="V378" t="str">
        <f t="shared" si="52"/>
        <v>Male</v>
      </c>
      <c r="W378" t="str">
        <f t="shared" si="53"/>
        <v>Sales</v>
      </c>
      <c r="X378" t="str">
        <f t="shared" si="54"/>
        <v>Noida</v>
      </c>
      <c r="Y378" t="str">
        <f t="shared" si="55"/>
        <v>Valid</v>
      </c>
      <c r="Z378" t="str">
        <f t="shared" si="56"/>
        <v>Valid</v>
      </c>
      <c r="AA378" t="str">
        <f t="shared" si="57"/>
        <v>Valid</v>
      </c>
      <c r="AB378" s="9" t="str">
        <f t="shared" si="58"/>
        <v>Valid</v>
      </c>
      <c r="AC378" s="9" t="str">
        <f t="shared" si="59"/>
        <v>Valid</v>
      </c>
      <c r="AD378" s="9" t="str">
        <f>IF(AND(Y378="Valid",Z378="Valid",AA378="Valid",AB378="Valid",COUNTIF($A$2:A378,A378)=1),"Include","Exclude")</f>
        <v>Include</v>
      </c>
    </row>
    <row r="379" spans="1:30" x14ac:dyDescent="0.35">
      <c r="A379" t="s">
        <v>807</v>
      </c>
      <c r="B379" t="s">
        <v>808</v>
      </c>
      <c r="C379" t="s">
        <v>21</v>
      </c>
      <c r="D379">
        <v>33</v>
      </c>
      <c r="E379" t="s">
        <v>38</v>
      </c>
      <c r="F379" t="s">
        <v>43</v>
      </c>
      <c r="G379" t="s">
        <v>24</v>
      </c>
      <c r="H379" t="s">
        <v>34</v>
      </c>
      <c r="I379">
        <v>10</v>
      </c>
      <c r="J379">
        <v>71651</v>
      </c>
      <c r="K379" t="s">
        <v>26</v>
      </c>
      <c r="L379">
        <v>10</v>
      </c>
      <c r="M379">
        <v>24</v>
      </c>
      <c r="N379">
        <v>4</v>
      </c>
      <c r="O379" t="s">
        <v>28</v>
      </c>
      <c r="P379" t="s">
        <v>28</v>
      </c>
      <c r="Q379">
        <v>5</v>
      </c>
      <c r="R379" t="s">
        <v>28</v>
      </c>
      <c r="S379" t="s">
        <v>27</v>
      </c>
      <c r="T379" t="b">
        <f t="shared" si="50"/>
        <v>0</v>
      </c>
      <c r="U379" t="str">
        <f t="shared" si="51"/>
        <v>Employee_0378</v>
      </c>
      <c r="V379" t="str">
        <f t="shared" si="52"/>
        <v>Female</v>
      </c>
      <c r="W379" t="str">
        <f t="shared" si="53"/>
        <v>It</v>
      </c>
      <c r="X379" t="str">
        <f t="shared" si="54"/>
        <v>Gurgaon</v>
      </c>
      <c r="Y379" t="str">
        <f t="shared" si="55"/>
        <v>Valid</v>
      </c>
      <c r="Z379" t="str">
        <f t="shared" si="56"/>
        <v>Valid</v>
      </c>
      <c r="AA379" t="str">
        <f t="shared" si="57"/>
        <v>Valid</v>
      </c>
      <c r="AB379" s="9" t="str">
        <f t="shared" si="58"/>
        <v>Valid</v>
      </c>
      <c r="AC379" s="9" t="str">
        <f t="shared" si="59"/>
        <v>Valid</v>
      </c>
      <c r="AD379" s="9" t="str">
        <f>IF(AND(Y379="Valid",Z379="Valid",AA379="Valid",AB379="Valid",COUNTIF($A$2:A379,A379)=1),"Include","Exclude")</f>
        <v>Include</v>
      </c>
    </row>
    <row r="380" spans="1:30" x14ac:dyDescent="0.35">
      <c r="A380" t="s">
        <v>809</v>
      </c>
      <c r="B380" t="s">
        <v>810</v>
      </c>
      <c r="C380" t="s">
        <v>31</v>
      </c>
      <c r="D380">
        <v>44</v>
      </c>
      <c r="E380" t="s">
        <v>22</v>
      </c>
      <c r="F380" t="s">
        <v>48</v>
      </c>
      <c r="G380" t="s">
        <v>24</v>
      </c>
      <c r="H380" t="s">
        <v>49</v>
      </c>
      <c r="I380">
        <v>16</v>
      </c>
      <c r="J380">
        <v>41449</v>
      </c>
      <c r="K380" t="s">
        <v>45</v>
      </c>
      <c r="L380">
        <v>9</v>
      </c>
      <c r="M380">
        <v>19</v>
      </c>
      <c r="N380">
        <v>4</v>
      </c>
      <c r="O380" t="s">
        <v>27</v>
      </c>
      <c r="P380" t="s">
        <v>28</v>
      </c>
      <c r="Q380">
        <v>1</v>
      </c>
      <c r="R380" t="s">
        <v>28</v>
      </c>
      <c r="S380" t="s">
        <v>27</v>
      </c>
      <c r="T380" t="b">
        <f t="shared" si="50"/>
        <v>0</v>
      </c>
      <c r="U380" t="str">
        <f t="shared" si="51"/>
        <v>Employee_0379</v>
      </c>
      <c r="V380" t="str">
        <f t="shared" si="52"/>
        <v>Male</v>
      </c>
      <c r="W380" t="str">
        <f t="shared" si="53"/>
        <v>Customer Support</v>
      </c>
      <c r="X380" t="str">
        <f t="shared" si="54"/>
        <v>Delhi</v>
      </c>
      <c r="Y380" t="str">
        <f t="shared" si="55"/>
        <v>Valid</v>
      </c>
      <c r="Z380" t="str">
        <f t="shared" si="56"/>
        <v>Valid</v>
      </c>
      <c r="AA380" t="str">
        <f t="shared" si="57"/>
        <v>Valid</v>
      </c>
      <c r="AB380" s="9" t="str">
        <f t="shared" si="58"/>
        <v>Valid</v>
      </c>
      <c r="AC380" s="9" t="str">
        <f t="shared" si="59"/>
        <v>Valid</v>
      </c>
      <c r="AD380" s="9" t="str">
        <f>IF(AND(Y380="Valid",Z380="Valid",AA380="Valid",AB380="Valid",COUNTIF($A$2:A380,A380)=1),"Include","Exclude")</f>
        <v>Include</v>
      </c>
    </row>
    <row r="381" spans="1:30" x14ac:dyDescent="0.35">
      <c r="A381" t="s">
        <v>811</v>
      </c>
      <c r="B381" t="s">
        <v>812</v>
      </c>
      <c r="C381" t="s">
        <v>31</v>
      </c>
      <c r="D381">
        <v>31</v>
      </c>
      <c r="E381" t="s">
        <v>38</v>
      </c>
      <c r="F381" t="s">
        <v>39</v>
      </c>
      <c r="G381" t="s">
        <v>24</v>
      </c>
      <c r="H381" t="s">
        <v>61</v>
      </c>
      <c r="I381">
        <v>7</v>
      </c>
      <c r="J381">
        <v>62517</v>
      </c>
      <c r="K381" t="s">
        <v>26</v>
      </c>
      <c r="L381">
        <v>1</v>
      </c>
      <c r="M381">
        <v>37</v>
      </c>
      <c r="N381">
        <v>3</v>
      </c>
      <c r="O381" t="s">
        <v>27</v>
      </c>
      <c r="P381" t="s">
        <v>27</v>
      </c>
      <c r="Q381">
        <v>5</v>
      </c>
      <c r="R381" t="s">
        <v>27</v>
      </c>
      <c r="S381" t="s">
        <v>27</v>
      </c>
      <c r="T381" t="b">
        <f t="shared" si="50"/>
        <v>0</v>
      </c>
      <c r="U381" t="str">
        <f t="shared" si="51"/>
        <v>Employee_0380</v>
      </c>
      <c r="V381" t="str">
        <f t="shared" si="52"/>
        <v>Male</v>
      </c>
      <c r="W381" t="str">
        <f t="shared" si="53"/>
        <v>Operations</v>
      </c>
      <c r="X381" t="str">
        <f t="shared" si="54"/>
        <v>Noida</v>
      </c>
      <c r="Y381" t="str">
        <f t="shared" si="55"/>
        <v>Valid</v>
      </c>
      <c r="Z381" t="str">
        <f t="shared" si="56"/>
        <v>Valid</v>
      </c>
      <c r="AA381" t="str">
        <f t="shared" si="57"/>
        <v>Valid</v>
      </c>
      <c r="AB381" s="9" t="str">
        <f t="shared" si="58"/>
        <v>Valid</v>
      </c>
      <c r="AC381" s="9" t="str">
        <f t="shared" si="59"/>
        <v>Valid</v>
      </c>
      <c r="AD381" s="9" t="str">
        <f>IF(AND(Y381="Valid",Z381="Valid",AA381="Valid",AB381="Valid",COUNTIF($A$2:A381,A381)=1),"Include","Exclude")</f>
        <v>Include</v>
      </c>
    </row>
    <row r="382" spans="1:30" x14ac:dyDescent="0.35">
      <c r="A382" t="s">
        <v>813</v>
      </c>
      <c r="B382" t="s">
        <v>814</v>
      </c>
      <c r="C382" t="s">
        <v>21</v>
      </c>
      <c r="D382">
        <v>48</v>
      </c>
      <c r="E382" t="s">
        <v>55</v>
      </c>
      <c r="F382" t="s">
        <v>39</v>
      </c>
      <c r="G382" t="s">
        <v>44</v>
      </c>
      <c r="H382" t="s">
        <v>25</v>
      </c>
      <c r="I382">
        <v>20</v>
      </c>
      <c r="J382">
        <v>72635</v>
      </c>
      <c r="K382" t="s">
        <v>35</v>
      </c>
      <c r="L382">
        <v>8</v>
      </c>
      <c r="M382">
        <v>13</v>
      </c>
      <c r="N382">
        <v>7</v>
      </c>
      <c r="O382" t="s">
        <v>27</v>
      </c>
      <c r="P382" t="s">
        <v>28</v>
      </c>
      <c r="Q382">
        <v>4</v>
      </c>
      <c r="R382" t="s">
        <v>27</v>
      </c>
      <c r="S382" t="s">
        <v>28</v>
      </c>
      <c r="T382" t="b">
        <f t="shared" si="50"/>
        <v>0</v>
      </c>
      <c r="U382" t="str">
        <f t="shared" si="51"/>
        <v>Employee_0381</v>
      </c>
      <c r="V382" t="str">
        <f t="shared" si="52"/>
        <v>Female</v>
      </c>
      <c r="W382" t="str">
        <f t="shared" si="53"/>
        <v>Operations</v>
      </c>
      <c r="X382" t="str">
        <f t="shared" si="54"/>
        <v>Hyderabad</v>
      </c>
      <c r="Y382" t="str">
        <f t="shared" si="55"/>
        <v>Valid</v>
      </c>
      <c r="Z382" t="str">
        <f t="shared" si="56"/>
        <v>Valid</v>
      </c>
      <c r="AA382" t="str">
        <f t="shared" si="57"/>
        <v>Valid</v>
      </c>
      <c r="AB382" s="9" t="str">
        <f t="shared" si="58"/>
        <v>Valid</v>
      </c>
      <c r="AC382" s="9" t="str">
        <f t="shared" si="59"/>
        <v>Valid</v>
      </c>
      <c r="AD382" s="9" t="str">
        <f>IF(AND(Y382="Valid",Z382="Valid",AA382="Valid",AB382="Valid",COUNTIF($A$2:A382,A382)=1),"Include","Exclude")</f>
        <v>Include</v>
      </c>
    </row>
    <row r="383" spans="1:30" x14ac:dyDescent="0.35">
      <c r="A383" t="s">
        <v>815</v>
      </c>
      <c r="B383" t="s">
        <v>816</v>
      </c>
      <c r="C383" t="s">
        <v>31</v>
      </c>
      <c r="D383">
        <v>21</v>
      </c>
      <c r="E383" t="s">
        <v>38</v>
      </c>
      <c r="F383" t="s">
        <v>23</v>
      </c>
      <c r="G383" t="s">
        <v>24</v>
      </c>
      <c r="H383" t="s">
        <v>52</v>
      </c>
      <c r="I383">
        <v>0</v>
      </c>
      <c r="J383">
        <v>65262</v>
      </c>
      <c r="K383" t="s">
        <v>26</v>
      </c>
      <c r="L383">
        <v>1</v>
      </c>
      <c r="M383">
        <v>32</v>
      </c>
      <c r="N383">
        <v>3</v>
      </c>
      <c r="O383" t="s">
        <v>27</v>
      </c>
      <c r="P383" t="s">
        <v>28</v>
      </c>
      <c r="Q383">
        <v>3</v>
      </c>
      <c r="R383" t="s">
        <v>27</v>
      </c>
      <c r="S383" t="s">
        <v>28</v>
      </c>
      <c r="T383" t="b">
        <f t="shared" si="50"/>
        <v>0</v>
      </c>
      <c r="U383" t="str">
        <f t="shared" si="51"/>
        <v>Employee_0382</v>
      </c>
      <c r="V383" t="str">
        <f t="shared" si="52"/>
        <v>Male</v>
      </c>
      <c r="W383" t="str">
        <f t="shared" si="53"/>
        <v>Finance</v>
      </c>
      <c r="X383" t="str">
        <f t="shared" si="54"/>
        <v>Mumbai</v>
      </c>
      <c r="Y383" t="str">
        <f t="shared" si="55"/>
        <v>Valid</v>
      </c>
      <c r="Z383" t="str">
        <f t="shared" si="56"/>
        <v>Valid</v>
      </c>
      <c r="AA383" t="str">
        <f t="shared" si="57"/>
        <v>Valid</v>
      </c>
      <c r="AB383" s="9" t="str">
        <f t="shared" si="58"/>
        <v>Valid</v>
      </c>
      <c r="AC383" s="9" t="str">
        <f t="shared" si="59"/>
        <v>Valid</v>
      </c>
      <c r="AD383" s="9" t="str">
        <f>IF(AND(Y383="Valid",Z383="Valid",AA383="Valid",AB383="Valid",COUNTIF($A$2:A383,A383)=1),"Include","Exclude")</f>
        <v>Include</v>
      </c>
    </row>
    <row r="384" spans="1:30" x14ac:dyDescent="0.35">
      <c r="A384" t="s">
        <v>817</v>
      </c>
      <c r="B384" t="s">
        <v>818</v>
      </c>
      <c r="C384" t="s">
        <v>31</v>
      </c>
      <c r="D384">
        <v>33</v>
      </c>
      <c r="E384" t="s">
        <v>55</v>
      </c>
      <c r="F384" t="s">
        <v>43</v>
      </c>
      <c r="G384" t="s">
        <v>24</v>
      </c>
      <c r="H384" t="s">
        <v>52</v>
      </c>
      <c r="I384">
        <v>10</v>
      </c>
      <c r="J384">
        <v>80206</v>
      </c>
      <c r="K384" t="s">
        <v>35</v>
      </c>
      <c r="L384">
        <v>9</v>
      </c>
      <c r="M384">
        <v>24</v>
      </c>
      <c r="N384">
        <v>3</v>
      </c>
      <c r="O384" t="s">
        <v>28</v>
      </c>
      <c r="P384" t="s">
        <v>28</v>
      </c>
      <c r="Q384">
        <v>5</v>
      </c>
      <c r="R384" t="s">
        <v>27</v>
      </c>
      <c r="S384" t="s">
        <v>27</v>
      </c>
      <c r="T384" t="b">
        <f t="shared" si="50"/>
        <v>0</v>
      </c>
      <c r="U384" t="str">
        <f t="shared" si="51"/>
        <v>Employee_0383</v>
      </c>
      <c r="V384" t="str">
        <f t="shared" si="52"/>
        <v>Male</v>
      </c>
      <c r="W384" t="str">
        <f t="shared" si="53"/>
        <v>It</v>
      </c>
      <c r="X384" t="str">
        <f t="shared" si="54"/>
        <v>Mumbai</v>
      </c>
      <c r="Y384" t="str">
        <f t="shared" si="55"/>
        <v>Valid</v>
      </c>
      <c r="Z384" t="str">
        <f t="shared" si="56"/>
        <v>Valid</v>
      </c>
      <c r="AA384" t="str">
        <f t="shared" si="57"/>
        <v>Valid</v>
      </c>
      <c r="AB384" s="9" t="str">
        <f t="shared" si="58"/>
        <v>Valid</v>
      </c>
      <c r="AC384" s="9" t="str">
        <f t="shared" si="59"/>
        <v>Valid</v>
      </c>
      <c r="AD384" s="9" t="str">
        <f>IF(AND(Y384="Valid",Z384="Valid",AA384="Valid",AB384="Valid",COUNTIF($A$2:A384,A384)=1),"Include","Exclude")</f>
        <v>Include</v>
      </c>
    </row>
    <row r="385" spans="1:30" x14ac:dyDescent="0.35">
      <c r="A385" t="s">
        <v>819</v>
      </c>
      <c r="B385" t="s">
        <v>820</v>
      </c>
      <c r="C385" t="s">
        <v>31</v>
      </c>
      <c r="D385">
        <v>39</v>
      </c>
      <c r="E385" t="s">
        <v>55</v>
      </c>
      <c r="F385" t="s">
        <v>23</v>
      </c>
      <c r="G385" t="s">
        <v>24</v>
      </c>
      <c r="H385" t="s">
        <v>131</v>
      </c>
      <c r="I385">
        <v>8</v>
      </c>
      <c r="J385">
        <v>74285</v>
      </c>
      <c r="K385" t="s">
        <v>45</v>
      </c>
      <c r="L385">
        <v>7</v>
      </c>
      <c r="M385">
        <v>30</v>
      </c>
      <c r="N385">
        <v>6</v>
      </c>
      <c r="O385" t="s">
        <v>28</v>
      </c>
      <c r="P385" t="s">
        <v>28</v>
      </c>
      <c r="Q385">
        <v>3</v>
      </c>
      <c r="R385" t="s">
        <v>27</v>
      </c>
      <c r="S385" t="s">
        <v>28</v>
      </c>
      <c r="T385" t="b">
        <f t="shared" si="50"/>
        <v>0</v>
      </c>
      <c r="U385" t="str">
        <f t="shared" si="51"/>
        <v>Employee_0384</v>
      </c>
      <c r="V385" t="str">
        <f t="shared" si="52"/>
        <v>Male</v>
      </c>
      <c r="W385" t="str">
        <f t="shared" si="53"/>
        <v>Finance</v>
      </c>
      <c r="X385" t="str">
        <f t="shared" si="54"/>
        <v>Pune</v>
      </c>
      <c r="Y385" t="str">
        <f t="shared" si="55"/>
        <v>Valid</v>
      </c>
      <c r="Z385" t="str">
        <f t="shared" si="56"/>
        <v>Valid</v>
      </c>
      <c r="AA385" t="str">
        <f t="shared" si="57"/>
        <v>Valid</v>
      </c>
      <c r="AB385" s="9" t="str">
        <f t="shared" si="58"/>
        <v>Valid</v>
      </c>
      <c r="AC385" s="9" t="str">
        <f t="shared" si="59"/>
        <v>Valid</v>
      </c>
      <c r="AD385" s="9" t="str">
        <f>IF(AND(Y385="Valid",Z385="Valid",AA385="Valid",AB385="Valid",COUNTIF($A$2:A385,A385)=1),"Include","Exclude")</f>
        <v>Include</v>
      </c>
    </row>
    <row r="386" spans="1:30" x14ac:dyDescent="0.35">
      <c r="A386" t="s">
        <v>821</v>
      </c>
      <c r="B386" t="s">
        <v>822</v>
      </c>
      <c r="C386" t="s">
        <v>21</v>
      </c>
      <c r="D386">
        <v>34</v>
      </c>
      <c r="E386" t="s">
        <v>22</v>
      </c>
      <c r="F386" t="s">
        <v>48</v>
      </c>
      <c r="G386" t="s">
        <v>24</v>
      </c>
      <c r="H386" t="s">
        <v>52</v>
      </c>
      <c r="I386">
        <v>7</v>
      </c>
      <c r="J386">
        <v>51392</v>
      </c>
      <c r="K386" t="s">
        <v>45</v>
      </c>
      <c r="L386">
        <v>7</v>
      </c>
      <c r="M386">
        <v>41</v>
      </c>
      <c r="N386">
        <v>7</v>
      </c>
      <c r="O386" t="s">
        <v>27</v>
      </c>
      <c r="P386" t="s">
        <v>28</v>
      </c>
      <c r="Q386">
        <v>3</v>
      </c>
      <c r="R386" t="s">
        <v>28</v>
      </c>
      <c r="S386" t="s">
        <v>28</v>
      </c>
      <c r="T386" t="b">
        <f t="shared" ref="T386:T449" si="60">COUNTIF($A$2:$A$503,A386)&gt;1</f>
        <v>0</v>
      </c>
      <c r="U386" t="str">
        <f t="shared" ref="U386:U449" si="61">TRIM(B386)</f>
        <v>Employee_0385</v>
      </c>
      <c r="V386" t="str">
        <f t="shared" ref="V386:V449" si="62">PROPER(TRIM(C386))</f>
        <v>Female</v>
      </c>
      <c r="W386" t="str">
        <f t="shared" ref="W386:W449" si="63">PROPER(TRIM(F386))</f>
        <v>Customer Support</v>
      </c>
      <c r="X386" t="str">
        <f t="shared" ref="X386:X449" si="64">PROPER(TRIM(H386))</f>
        <v>Mumbai</v>
      </c>
      <c r="Y386" t="str">
        <f t="shared" ref="Y386:Y449" si="65">IF(J386&lt;=0,"Check","Valid")</f>
        <v>Valid</v>
      </c>
      <c r="Z386" t="str">
        <f t="shared" ref="Z386:Z449" si="66">IF(AND(L386&gt;=1,L386&lt;=10),"Valid","Check")</f>
        <v>Valid</v>
      </c>
      <c r="AA386" t="str">
        <f t="shared" ref="AA386:AA449" si="67">IF(AND(M386&gt;=0,M386&lt;=200),"Valid","Check")</f>
        <v>Valid</v>
      </c>
      <c r="AB386" s="9" t="str">
        <f t="shared" ref="AB386:AB449" si="68">IF(AND(I386&gt;=0,I386&lt;=50),"Valid","Check")</f>
        <v>Valid</v>
      </c>
      <c r="AC386" s="9" t="str">
        <f t="shared" ref="AC386:AC449" si="69">IF(OR(T386=TRUE,Y386="Check",Z386="Check",AA386="Check",AB386="Check"),"Check","Valid")</f>
        <v>Valid</v>
      </c>
      <c r="AD386" s="9" t="str">
        <f>IF(AND(Y386="Valid",Z386="Valid",AA386="Valid",AB386="Valid",COUNTIF($A$2:A386,A386)=1),"Include","Exclude")</f>
        <v>Include</v>
      </c>
    </row>
    <row r="387" spans="1:30" x14ac:dyDescent="0.35">
      <c r="A387" t="s">
        <v>823</v>
      </c>
      <c r="B387" t="s">
        <v>824</v>
      </c>
      <c r="C387" t="s">
        <v>31</v>
      </c>
      <c r="D387">
        <v>44</v>
      </c>
      <c r="E387" t="s">
        <v>55</v>
      </c>
      <c r="F387" t="s">
        <v>60</v>
      </c>
      <c r="G387" t="s">
        <v>24</v>
      </c>
      <c r="H387" t="s">
        <v>52</v>
      </c>
      <c r="I387">
        <v>14</v>
      </c>
      <c r="J387">
        <v>63948</v>
      </c>
      <c r="K387" t="s">
        <v>45</v>
      </c>
      <c r="L387">
        <v>4</v>
      </c>
      <c r="M387">
        <v>25</v>
      </c>
      <c r="N387">
        <v>4</v>
      </c>
      <c r="O387" t="s">
        <v>28</v>
      </c>
      <c r="P387" t="s">
        <v>28</v>
      </c>
      <c r="Q387">
        <v>1</v>
      </c>
      <c r="R387" t="s">
        <v>28</v>
      </c>
      <c r="S387" t="s">
        <v>27</v>
      </c>
      <c r="T387" t="b">
        <f t="shared" si="60"/>
        <v>0</v>
      </c>
      <c r="U387" t="str">
        <f t="shared" si="61"/>
        <v>Employee_0386</v>
      </c>
      <c r="V387" t="str">
        <f t="shared" si="62"/>
        <v>Male</v>
      </c>
      <c r="W387" t="str">
        <f t="shared" si="63"/>
        <v>Hr</v>
      </c>
      <c r="X387" t="str">
        <f t="shared" si="64"/>
        <v>Mumbai</v>
      </c>
      <c r="Y387" t="str">
        <f t="shared" si="65"/>
        <v>Valid</v>
      </c>
      <c r="Z387" t="str">
        <f t="shared" si="66"/>
        <v>Valid</v>
      </c>
      <c r="AA387" t="str">
        <f t="shared" si="67"/>
        <v>Valid</v>
      </c>
      <c r="AB387" s="9" t="str">
        <f t="shared" si="68"/>
        <v>Valid</v>
      </c>
      <c r="AC387" s="9" t="str">
        <f t="shared" si="69"/>
        <v>Valid</v>
      </c>
      <c r="AD387" s="9" t="str">
        <f>IF(AND(Y387="Valid",Z387="Valid",AA387="Valid",AB387="Valid",COUNTIF($A$2:A387,A387)=1),"Include","Exclude")</f>
        <v>Include</v>
      </c>
    </row>
    <row r="388" spans="1:30" x14ac:dyDescent="0.35">
      <c r="A388" t="s">
        <v>825</v>
      </c>
      <c r="B388" t="s">
        <v>826</v>
      </c>
      <c r="C388" t="s">
        <v>21</v>
      </c>
      <c r="D388">
        <v>28</v>
      </c>
      <c r="E388" t="s">
        <v>55</v>
      </c>
      <c r="F388" t="s">
        <v>48</v>
      </c>
      <c r="G388" t="s">
        <v>24</v>
      </c>
      <c r="H388" t="s">
        <v>49</v>
      </c>
      <c r="I388">
        <v>5</v>
      </c>
      <c r="J388">
        <v>52056</v>
      </c>
      <c r="K388" t="s">
        <v>35</v>
      </c>
      <c r="L388">
        <v>7</v>
      </c>
      <c r="M388">
        <v>2</v>
      </c>
      <c r="N388">
        <v>0</v>
      </c>
      <c r="O388" t="s">
        <v>27</v>
      </c>
      <c r="P388" t="s">
        <v>28</v>
      </c>
      <c r="Q388">
        <v>3</v>
      </c>
      <c r="R388" t="s">
        <v>27</v>
      </c>
      <c r="S388" t="s">
        <v>27</v>
      </c>
      <c r="T388" t="b">
        <f t="shared" si="60"/>
        <v>0</v>
      </c>
      <c r="U388" t="str">
        <f t="shared" si="61"/>
        <v>Employee_0387</v>
      </c>
      <c r="V388" t="str">
        <f t="shared" si="62"/>
        <v>Female</v>
      </c>
      <c r="W388" t="str">
        <f t="shared" si="63"/>
        <v>Customer Support</v>
      </c>
      <c r="X388" t="str">
        <f t="shared" si="64"/>
        <v>Delhi</v>
      </c>
      <c r="Y388" t="str">
        <f t="shared" si="65"/>
        <v>Valid</v>
      </c>
      <c r="Z388" t="str">
        <f t="shared" si="66"/>
        <v>Valid</v>
      </c>
      <c r="AA388" t="str">
        <f t="shared" si="67"/>
        <v>Valid</v>
      </c>
      <c r="AB388" s="9" t="str">
        <f t="shared" si="68"/>
        <v>Valid</v>
      </c>
      <c r="AC388" s="9" t="str">
        <f t="shared" si="69"/>
        <v>Valid</v>
      </c>
      <c r="AD388" s="9" t="str">
        <f>IF(AND(Y388="Valid",Z388="Valid",AA388="Valid",AB388="Valid",COUNTIF($A$2:A388,A388)=1),"Include","Exclude")</f>
        <v>Include</v>
      </c>
    </row>
    <row r="389" spans="1:30" x14ac:dyDescent="0.35">
      <c r="A389" t="s">
        <v>827</v>
      </c>
      <c r="B389" t="s">
        <v>828</v>
      </c>
      <c r="C389" t="s">
        <v>21</v>
      </c>
      <c r="D389">
        <v>49</v>
      </c>
      <c r="E389" t="s">
        <v>55</v>
      </c>
      <c r="F389" t="s">
        <v>33</v>
      </c>
      <c r="G389" t="s">
        <v>44</v>
      </c>
      <c r="H389" t="s">
        <v>131</v>
      </c>
      <c r="I389">
        <v>21</v>
      </c>
      <c r="J389">
        <v>72681</v>
      </c>
      <c r="K389" t="s">
        <v>45</v>
      </c>
      <c r="L389">
        <v>8</v>
      </c>
      <c r="M389">
        <v>25</v>
      </c>
      <c r="N389">
        <v>4</v>
      </c>
      <c r="O389" t="s">
        <v>28</v>
      </c>
      <c r="P389" t="s">
        <v>28</v>
      </c>
      <c r="Q389">
        <v>1</v>
      </c>
      <c r="R389" t="s">
        <v>28</v>
      </c>
      <c r="S389" t="s">
        <v>27</v>
      </c>
      <c r="T389" t="b">
        <f t="shared" si="60"/>
        <v>0</v>
      </c>
      <c r="U389" t="str">
        <f t="shared" si="61"/>
        <v>Employee_0388</v>
      </c>
      <c r="V389" t="str">
        <f t="shared" si="62"/>
        <v>Female</v>
      </c>
      <c r="W389" t="str">
        <f t="shared" si="63"/>
        <v>Sales</v>
      </c>
      <c r="X389" t="str">
        <f t="shared" si="64"/>
        <v>Pune</v>
      </c>
      <c r="Y389" t="str">
        <f t="shared" si="65"/>
        <v>Valid</v>
      </c>
      <c r="Z389" t="str">
        <f t="shared" si="66"/>
        <v>Valid</v>
      </c>
      <c r="AA389" t="str">
        <f t="shared" si="67"/>
        <v>Valid</v>
      </c>
      <c r="AB389" s="9" t="str">
        <f t="shared" si="68"/>
        <v>Valid</v>
      </c>
      <c r="AC389" s="9" t="str">
        <f t="shared" si="69"/>
        <v>Valid</v>
      </c>
      <c r="AD389" s="9" t="str">
        <f>IF(AND(Y389="Valid",Z389="Valid",AA389="Valid",AB389="Valid",COUNTIF($A$2:A389,A389)=1),"Include","Exclude")</f>
        <v>Include</v>
      </c>
    </row>
    <row r="390" spans="1:30" x14ac:dyDescent="0.35">
      <c r="A390" t="s">
        <v>829</v>
      </c>
      <c r="B390" t="s">
        <v>830</v>
      </c>
      <c r="C390" t="s">
        <v>21</v>
      </c>
      <c r="D390">
        <v>44</v>
      </c>
      <c r="E390" t="s">
        <v>55</v>
      </c>
      <c r="F390" t="s">
        <v>23</v>
      </c>
      <c r="G390" t="s">
        <v>24</v>
      </c>
      <c r="H390" t="s">
        <v>52</v>
      </c>
      <c r="I390">
        <v>11</v>
      </c>
      <c r="J390">
        <v>69411</v>
      </c>
      <c r="K390" t="s">
        <v>26</v>
      </c>
      <c r="L390">
        <v>8</v>
      </c>
      <c r="M390">
        <v>0</v>
      </c>
      <c r="N390">
        <v>4</v>
      </c>
      <c r="O390" t="s">
        <v>28</v>
      </c>
      <c r="P390" t="s">
        <v>28</v>
      </c>
      <c r="Q390">
        <v>3</v>
      </c>
      <c r="R390" t="s">
        <v>27</v>
      </c>
      <c r="S390" t="s">
        <v>27</v>
      </c>
      <c r="T390" t="b">
        <f t="shared" si="60"/>
        <v>0</v>
      </c>
      <c r="U390" t="str">
        <f t="shared" si="61"/>
        <v>Employee_0389</v>
      </c>
      <c r="V390" t="str">
        <f t="shared" si="62"/>
        <v>Female</v>
      </c>
      <c r="W390" t="str">
        <f t="shared" si="63"/>
        <v>Finance</v>
      </c>
      <c r="X390" t="str">
        <f t="shared" si="64"/>
        <v>Mumbai</v>
      </c>
      <c r="Y390" t="str">
        <f t="shared" si="65"/>
        <v>Valid</v>
      </c>
      <c r="Z390" t="str">
        <f t="shared" si="66"/>
        <v>Valid</v>
      </c>
      <c r="AA390" t="str">
        <f t="shared" si="67"/>
        <v>Valid</v>
      </c>
      <c r="AB390" s="9" t="str">
        <f t="shared" si="68"/>
        <v>Valid</v>
      </c>
      <c r="AC390" s="9" t="str">
        <f t="shared" si="69"/>
        <v>Valid</v>
      </c>
      <c r="AD390" s="9" t="str">
        <f>IF(AND(Y390="Valid",Z390="Valid",AA390="Valid",AB390="Valid",COUNTIF($A$2:A390,A390)=1),"Include","Exclude")</f>
        <v>Include</v>
      </c>
    </row>
    <row r="391" spans="1:30" x14ac:dyDescent="0.35">
      <c r="A391" t="s">
        <v>831</v>
      </c>
      <c r="B391" t="s">
        <v>832</v>
      </c>
      <c r="C391" t="s">
        <v>21</v>
      </c>
      <c r="D391">
        <v>24</v>
      </c>
      <c r="E391" t="s">
        <v>22</v>
      </c>
      <c r="F391" t="s">
        <v>33</v>
      </c>
      <c r="G391" t="s">
        <v>24</v>
      </c>
      <c r="H391" t="s">
        <v>131</v>
      </c>
      <c r="I391">
        <v>2</v>
      </c>
      <c r="J391">
        <v>52841</v>
      </c>
      <c r="K391" t="s">
        <v>40</v>
      </c>
      <c r="L391">
        <v>8</v>
      </c>
      <c r="M391">
        <v>38</v>
      </c>
      <c r="N391">
        <v>3</v>
      </c>
      <c r="O391" t="s">
        <v>28</v>
      </c>
      <c r="P391" t="s">
        <v>27</v>
      </c>
      <c r="Q391">
        <v>2</v>
      </c>
      <c r="R391" t="s">
        <v>27</v>
      </c>
      <c r="S391" t="s">
        <v>27</v>
      </c>
      <c r="T391" t="b">
        <f t="shared" si="60"/>
        <v>0</v>
      </c>
      <c r="U391" t="str">
        <f t="shared" si="61"/>
        <v>Employee_0390</v>
      </c>
      <c r="V391" t="str">
        <f t="shared" si="62"/>
        <v>Female</v>
      </c>
      <c r="W391" t="str">
        <f t="shared" si="63"/>
        <v>Sales</v>
      </c>
      <c r="X391" t="str">
        <f t="shared" si="64"/>
        <v>Pune</v>
      </c>
      <c r="Y391" t="str">
        <f t="shared" si="65"/>
        <v>Valid</v>
      </c>
      <c r="Z391" t="str">
        <f t="shared" si="66"/>
        <v>Valid</v>
      </c>
      <c r="AA391" t="str">
        <f t="shared" si="67"/>
        <v>Valid</v>
      </c>
      <c r="AB391" s="9" t="str">
        <f t="shared" si="68"/>
        <v>Valid</v>
      </c>
      <c r="AC391" s="9" t="str">
        <f t="shared" si="69"/>
        <v>Valid</v>
      </c>
      <c r="AD391" s="9" t="str">
        <f>IF(AND(Y391="Valid",Z391="Valid",AA391="Valid",AB391="Valid",COUNTIF($A$2:A391,A391)=1),"Include","Exclude")</f>
        <v>Include</v>
      </c>
    </row>
    <row r="392" spans="1:30" x14ac:dyDescent="0.35">
      <c r="A392" t="s">
        <v>833</v>
      </c>
      <c r="B392" t="s">
        <v>834</v>
      </c>
      <c r="C392" t="s">
        <v>31</v>
      </c>
      <c r="D392">
        <v>28</v>
      </c>
      <c r="E392" t="s">
        <v>38</v>
      </c>
      <c r="F392" t="s">
        <v>43</v>
      </c>
      <c r="G392" t="s">
        <v>69</v>
      </c>
      <c r="H392" t="s">
        <v>52</v>
      </c>
      <c r="I392">
        <v>5</v>
      </c>
      <c r="J392">
        <v>80249</v>
      </c>
      <c r="K392" t="s">
        <v>40</v>
      </c>
      <c r="L392">
        <v>10</v>
      </c>
      <c r="M392">
        <v>13</v>
      </c>
      <c r="N392">
        <v>4</v>
      </c>
      <c r="O392" t="s">
        <v>28</v>
      </c>
      <c r="P392" t="s">
        <v>27</v>
      </c>
      <c r="Q392">
        <v>1</v>
      </c>
      <c r="R392" t="s">
        <v>27</v>
      </c>
      <c r="S392" t="s">
        <v>27</v>
      </c>
      <c r="T392" t="b">
        <f t="shared" si="60"/>
        <v>0</v>
      </c>
      <c r="U392" t="str">
        <f t="shared" si="61"/>
        <v>Employee_0391</v>
      </c>
      <c r="V392" t="str">
        <f t="shared" si="62"/>
        <v>Male</v>
      </c>
      <c r="W392" t="str">
        <f t="shared" si="63"/>
        <v>It</v>
      </c>
      <c r="X392" t="str">
        <f t="shared" si="64"/>
        <v>Mumbai</v>
      </c>
      <c r="Y392" t="str">
        <f t="shared" si="65"/>
        <v>Valid</v>
      </c>
      <c r="Z392" t="str">
        <f t="shared" si="66"/>
        <v>Valid</v>
      </c>
      <c r="AA392" t="str">
        <f t="shared" si="67"/>
        <v>Valid</v>
      </c>
      <c r="AB392" s="9" t="str">
        <f t="shared" si="68"/>
        <v>Valid</v>
      </c>
      <c r="AC392" s="9" t="str">
        <f t="shared" si="69"/>
        <v>Valid</v>
      </c>
      <c r="AD392" s="9" t="str">
        <f>IF(AND(Y392="Valid",Z392="Valid",AA392="Valid",AB392="Valid",COUNTIF($A$2:A392,A392)=1),"Include","Exclude")</f>
        <v>Include</v>
      </c>
    </row>
    <row r="393" spans="1:30" x14ac:dyDescent="0.35">
      <c r="A393" t="s">
        <v>835</v>
      </c>
      <c r="B393" t="s">
        <v>836</v>
      </c>
      <c r="C393" t="s">
        <v>21</v>
      </c>
      <c r="D393">
        <v>49</v>
      </c>
      <c r="E393" t="s">
        <v>55</v>
      </c>
      <c r="F393" t="s">
        <v>23</v>
      </c>
      <c r="G393" t="s">
        <v>24</v>
      </c>
      <c r="H393" t="s">
        <v>52</v>
      </c>
      <c r="I393">
        <v>16</v>
      </c>
      <c r="J393">
        <v>82000</v>
      </c>
      <c r="K393" t="s">
        <v>26</v>
      </c>
      <c r="L393">
        <v>3</v>
      </c>
      <c r="M393">
        <v>48</v>
      </c>
      <c r="N393">
        <v>6</v>
      </c>
      <c r="O393" t="s">
        <v>27</v>
      </c>
      <c r="P393" t="s">
        <v>27</v>
      </c>
      <c r="Q393">
        <v>1</v>
      </c>
      <c r="R393" t="s">
        <v>27</v>
      </c>
      <c r="S393" t="s">
        <v>27</v>
      </c>
      <c r="T393" t="b">
        <f t="shared" si="60"/>
        <v>0</v>
      </c>
      <c r="U393" t="str">
        <f t="shared" si="61"/>
        <v>Employee_0392</v>
      </c>
      <c r="V393" t="str">
        <f t="shared" si="62"/>
        <v>Female</v>
      </c>
      <c r="W393" t="str">
        <f t="shared" si="63"/>
        <v>Finance</v>
      </c>
      <c r="X393" t="str">
        <f t="shared" si="64"/>
        <v>Mumbai</v>
      </c>
      <c r="Y393" t="str">
        <f t="shared" si="65"/>
        <v>Valid</v>
      </c>
      <c r="Z393" t="str">
        <f t="shared" si="66"/>
        <v>Valid</v>
      </c>
      <c r="AA393" t="str">
        <f t="shared" si="67"/>
        <v>Valid</v>
      </c>
      <c r="AB393" s="9" t="str">
        <f t="shared" si="68"/>
        <v>Valid</v>
      </c>
      <c r="AC393" s="9" t="str">
        <f t="shared" si="69"/>
        <v>Valid</v>
      </c>
      <c r="AD393" s="9" t="str">
        <f>IF(AND(Y393="Valid",Z393="Valid",AA393="Valid",AB393="Valid",COUNTIF($A$2:A393,A393)=1),"Include","Exclude")</f>
        <v>Include</v>
      </c>
    </row>
    <row r="394" spans="1:30" x14ac:dyDescent="0.35">
      <c r="A394" t="s">
        <v>837</v>
      </c>
      <c r="B394" t="s">
        <v>838</v>
      </c>
      <c r="C394" t="s">
        <v>21</v>
      </c>
      <c r="D394">
        <v>41</v>
      </c>
      <c r="E394" t="s">
        <v>38</v>
      </c>
      <c r="F394" t="s">
        <v>48</v>
      </c>
      <c r="G394" t="s">
        <v>24</v>
      </c>
      <c r="H394" t="s">
        <v>61</v>
      </c>
      <c r="I394">
        <v>13</v>
      </c>
      <c r="J394">
        <v>40436</v>
      </c>
      <c r="K394" t="s">
        <v>35</v>
      </c>
      <c r="L394">
        <v>6</v>
      </c>
      <c r="M394">
        <v>28</v>
      </c>
      <c r="N394">
        <v>7</v>
      </c>
      <c r="O394" t="s">
        <v>27</v>
      </c>
      <c r="P394" t="s">
        <v>28</v>
      </c>
      <c r="Q394">
        <v>2</v>
      </c>
      <c r="R394" t="s">
        <v>27</v>
      </c>
      <c r="S394" t="s">
        <v>27</v>
      </c>
      <c r="T394" t="b">
        <f t="shared" si="60"/>
        <v>0</v>
      </c>
      <c r="U394" t="str">
        <f t="shared" si="61"/>
        <v>Employee_0393</v>
      </c>
      <c r="V394" t="str">
        <f t="shared" si="62"/>
        <v>Female</v>
      </c>
      <c r="W394" t="str">
        <f t="shared" si="63"/>
        <v>Customer Support</v>
      </c>
      <c r="X394" t="str">
        <f t="shared" si="64"/>
        <v>Noida</v>
      </c>
      <c r="Y394" t="str">
        <f t="shared" si="65"/>
        <v>Valid</v>
      </c>
      <c r="Z394" t="str">
        <f t="shared" si="66"/>
        <v>Valid</v>
      </c>
      <c r="AA394" t="str">
        <f t="shared" si="67"/>
        <v>Valid</v>
      </c>
      <c r="AB394" s="9" t="str">
        <f t="shared" si="68"/>
        <v>Valid</v>
      </c>
      <c r="AC394" s="9" t="str">
        <f t="shared" si="69"/>
        <v>Valid</v>
      </c>
      <c r="AD394" s="9" t="str">
        <f>IF(AND(Y394="Valid",Z394="Valid",AA394="Valid",AB394="Valid",COUNTIF($A$2:A394,A394)=1),"Include","Exclude")</f>
        <v>Include</v>
      </c>
    </row>
    <row r="395" spans="1:30" x14ac:dyDescent="0.35">
      <c r="A395" t="s">
        <v>839</v>
      </c>
      <c r="B395" t="s">
        <v>840</v>
      </c>
      <c r="C395" t="s">
        <v>21</v>
      </c>
      <c r="D395">
        <v>41</v>
      </c>
      <c r="E395" t="s">
        <v>55</v>
      </c>
      <c r="F395" t="s">
        <v>60</v>
      </c>
      <c r="G395" t="s">
        <v>69</v>
      </c>
      <c r="H395" t="s">
        <v>52</v>
      </c>
      <c r="I395">
        <v>11</v>
      </c>
      <c r="J395">
        <v>70735</v>
      </c>
      <c r="K395" t="s">
        <v>35</v>
      </c>
      <c r="L395">
        <v>7</v>
      </c>
      <c r="M395">
        <v>42</v>
      </c>
      <c r="N395">
        <v>2</v>
      </c>
      <c r="O395" t="s">
        <v>27</v>
      </c>
      <c r="P395" t="s">
        <v>28</v>
      </c>
      <c r="Q395">
        <v>5</v>
      </c>
      <c r="R395" t="s">
        <v>27</v>
      </c>
      <c r="S395" t="s">
        <v>27</v>
      </c>
      <c r="T395" t="b">
        <f t="shared" si="60"/>
        <v>0</v>
      </c>
      <c r="U395" t="str">
        <f t="shared" si="61"/>
        <v>Employee_0394</v>
      </c>
      <c r="V395" t="str">
        <f t="shared" si="62"/>
        <v>Female</v>
      </c>
      <c r="W395" t="str">
        <f t="shared" si="63"/>
        <v>Hr</v>
      </c>
      <c r="X395" t="str">
        <f t="shared" si="64"/>
        <v>Mumbai</v>
      </c>
      <c r="Y395" t="str">
        <f t="shared" si="65"/>
        <v>Valid</v>
      </c>
      <c r="Z395" t="str">
        <f t="shared" si="66"/>
        <v>Valid</v>
      </c>
      <c r="AA395" t="str">
        <f t="shared" si="67"/>
        <v>Valid</v>
      </c>
      <c r="AB395" s="9" t="str">
        <f t="shared" si="68"/>
        <v>Valid</v>
      </c>
      <c r="AC395" s="9" t="str">
        <f t="shared" si="69"/>
        <v>Valid</v>
      </c>
      <c r="AD395" s="9" t="str">
        <f>IF(AND(Y395="Valid",Z395="Valid",AA395="Valid",AB395="Valid",COUNTIF($A$2:A395,A395)=1),"Include","Exclude")</f>
        <v>Include</v>
      </c>
    </row>
    <row r="396" spans="1:30" x14ac:dyDescent="0.35">
      <c r="A396" t="s">
        <v>841</v>
      </c>
      <c r="B396" t="s">
        <v>842</v>
      </c>
      <c r="C396" t="s">
        <v>31</v>
      </c>
      <c r="D396">
        <v>53</v>
      </c>
      <c r="E396" t="s">
        <v>55</v>
      </c>
      <c r="F396" t="s">
        <v>23</v>
      </c>
      <c r="G396" t="s">
        <v>24</v>
      </c>
      <c r="H396" t="s">
        <v>70</v>
      </c>
      <c r="I396">
        <v>26</v>
      </c>
      <c r="J396">
        <v>82000</v>
      </c>
      <c r="K396" t="s">
        <v>45</v>
      </c>
      <c r="L396">
        <v>6</v>
      </c>
      <c r="M396">
        <v>33</v>
      </c>
      <c r="N396">
        <v>4</v>
      </c>
      <c r="O396" t="s">
        <v>28</v>
      </c>
      <c r="P396" t="s">
        <v>28</v>
      </c>
      <c r="Q396">
        <v>2</v>
      </c>
      <c r="R396" t="s">
        <v>27</v>
      </c>
      <c r="S396" t="s">
        <v>27</v>
      </c>
      <c r="T396" t="b">
        <f t="shared" si="60"/>
        <v>0</v>
      </c>
      <c r="U396" t="str">
        <f t="shared" si="61"/>
        <v>Employee_0395</v>
      </c>
      <c r="V396" t="str">
        <f t="shared" si="62"/>
        <v>Male</v>
      </c>
      <c r="W396" t="str">
        <f t="shared" si="63"/>
        <v>Finance</v>
      </c>
      <c r="X396" t="str">
        <f t="shared" si="64"/>
        <v>Bangalore</v>
      </c>
      <c r="Y396" t="str">
        <f t="shared" si="65"/>
        <v>Valid</v>
      </c>
      <c r="Z396" t="str">
        <f t="shared" si="66"/>
        <v>Valid</v>
      </c>
      <c r="AA396" t="str">
        <f t="shared" si="67"/>
        <v>Valid</v>
      </c>
      <c r="AB396" s="9" t="str">
        <f t="shared" si="68"/>
        <v>Valid</v>
      </c>
      <c r="AC396" s="9" t="str">
        <f t="shared" si="69"/>
        <v>Valid</v>
      </c>
      <c r="AD396" s="9" t="str">
        <f>IF(AND(Y396="Valid",Z396="Valid",AA396="Valid",AB396="Valid",COUNTIF($A$2:A396,A396)=1),"Include","Exclude")</f>
        <v>Include</v>
      </c>
    </row>
    <row r="397" spans="1:30" x14ac:dyDescent="0.35">
      <c r="A397" t="s">
        <v>843</v>
      </c>
      <c r="B397" t="s">
        <v>844</v>
      </c>
      <c r="C397" t="s">
        <v>21</v>
      </c>
      <c r="D397">
        <v>33</v>
      </c>
      <c r="E397" t="s">
        <v>22</v>
      </c>
      <c r="F397" t="s">
        <v>48</v>
      </c>
      <c r="G397" t="s">
        <v>24</v>
      </c>
      <c r="H397" t="s">
        <v>49</v>
      </c>
      <c r="I397">
        <v>8</v>
      </c>
      <c r="J397">
        <v>45385</v>
      </c>
      <c r="K397" t="s">
        <v>45</v>
      </c>
      <c r="L397">
        <v>8</v>
      </c>
      <c r="M397">
        <v>30</v>
      </c>
      <c r="N397">
        <v>3</v>
      </c>
      <c r="O397" t="s">
        <v>28</v>
      </c>
      <c r="P397" t="s">
        <v>28</v>
      </c>
      <c r="Q397">
        <v>4</v>
      </c>
      <c r="R397" t="s">
        <v>27</v>
      </c>
      <c r="S397" t="s">
        <v>27</v>
      </c>
      <c r="T397" t="b">
        <f t="shared" si="60"/>
        <v>0</v>
      </c>
      <c r="U397" t="str">
        <f t="shared" si="61"/>
        <v>Employee_0396</v>
      </c>
      <c r="V397" t="str">
        <f t="shared" si="62"/>
        <v>Female</v>
      </c>
      <c r="W397" t="str">
        <f t="shared" si="63"/>
        <v>Customer Support</v>
      </c>
      <c r="X397" t="str">
        <f t="shared" si="64"/>
        <v>Delhi</v>
      </c>
      <c r="Y397" t="str">
        <f t="shared" si="65"/>
        <v>Valid</v>
      </c>
      <c r="Z397" t="str">
        <f t="shared" si="66"/>
        <v>Valid</v>
      </c>
      <c r="AA397" t="str">
        <f t="shared" si="67"/>
        <v>Valid</v>
      </c>
      <c r="AB397" s="9" t="str">
        <f t="shared" si="68"/>
        <v>Valid</v>
      </c>
      <c r="AC397" s="9" t="str">
        <f t="shared" si="69"/>
        <v>Valid</v>
      </c>
      <c r="AD397" s="9" t="str">
        <f>IF(AND(Y397="Valid",Z397="Valid",AA397="Valid",AB397="Valid",COUNTIF($A$2:A397,A397)=1),"Include","Exclude")</f>
        <v>Include</v>
      </c>
    </row>
    <row r="398" spans="1:30" x14ac:dyDescent="0.35">
      <c r="A398" t="s">
        <v>845</v>
      </c>
      <c r="B398" t="s">
        <v>846</v>
      </c>
      <c r="C398" t="s">
        <v>21</v>
      </c>
      <c r="D398">
        <v>46</v>
      </c>
      <c r="E398" t="s">
        <v>32</v>
      </c>
      <c r="F398" t="s">
        <v>60</v>
      </c>
      <c r="G398" t="s">
        <v>24</v>
      </c>
      <c r="H398" t="s">
        <v>34</v>
      </c>
      <c r="I398">
        <v>19</v>
      </c>
      <c r="J398">
        <v>57173</v>
      </c>
      <c r="K398" t="s">
        <v>35</v>
      </c>
      <c r="L398">
        <v>1</v>
      </c>
      <c r="M398">
        <v>17</v>
      </c>
      <c r="N398">
        <v>1</v>
      </c>
      <c r="O398" t="s">
        <v>27</v>
      </c>
      <c r="P398" t="s">
        <v>27</v>
      </c>
      <c r="Q398">
        <v>1</v>
      </c>
      <c r="R398" t="s">
        <v>27</v>
      </c>
      <c r="S398" t="s">
        <v>27</v>
      </c>
      <c r="T398" t="b">
        <f t="shared" si="60"/>
        <v>0</v>
      </c>
      <c r="U398" t="str">
        <f t="shared" si="61"/>
        <v>Employee_0397</v>
      </c>
      <c r="V398" t="str">
        <f t="shared" si="62"/>
        <v>Female</v>
      </c>
      <c r="W398" t="str">
        <f t="shared" si="63"/>
        <v>Hr</v>
      </c>
      <c r="X398" t="str">
        <f t="shared" si="64"/>
        <v>Gurgaon</v>
      </c>
      <c r="Y398" t="str">
        <f t="shared" si="65"/>
        <v>Valid</v>
      </c>
      <c r="Z398" t="str">
        <f t="shared" si="66"/>
        <v>Valid</v>
      </c>
      <c r="AA398" t="str">
        <f t="shared" si="67"/>
        <v>Valid</v>
      </c>
      <c r="AB398" s="9" t="str">
        <f t="shared" si="68"/>
        <v>Valid</v>
      </c>
      <c r="AC398" s="9" t="str">
        <f t="shared" si="69"/>
        <v>Valid</v>
      </c>
      <c r="AD398" s="9" t="str">
        <f>IF(AND(Y398="Valid",Z398="Valid",AA398="Valid",AB398="Valid",COUNTIF($A$2:A398,A398)=1),"Include","Exclude")</f>
        <v>Include</v>
      </c>
    </row>
    <row r="399" spans="1:30" x14ac:dyDescent="0.35">
      <c r="A399" t="s">
        <v>847</v>
      </c>
      <c r="B399" t="s">
        <v>848</v>
      </c>
      <c r="C399" t="s">
        <v>21</v>
      </c>
      <c r="D399">
        <v>54</v>
      </c>
      <c r="E399" t="s">
        <v>38</v>
      </c>
      <c r="F399" t="s">
        <v>39</v>
      </c>
      <c r="G399" t="s">
        <v>24</v>
      </c>
      <c r="H399" t="s">
        <v>49</v>
      </c>
      <c r="I399">
        <v>12</v>
      </c>
      <c r="J399">
        <v>59483</v>
      </c>
      <c r="K399" t="s">
        <v>45</v>
      </c>
      <c r="L399">
        <v>6</v>
      </c>
      <c r="M399">
        <v>22</v>
      </c>
      <c r="N399">
        <v>7</v>
      </c>
      <c r="O399" t="s">
        <v>27</v>
      </c>
      <c r="P399" t="s">
        <v>27</v>
      </c>
      <c r="Q399">
        <v>3</v>
      </c>
      <c r="R399" t="s">
        <v>27</v>
      </c>
      <c r="S399" t="s">
        <v>27</v>
      </c>
      <c r="T399" t="b">
        <f t="shared" si="60"/>
        <v>0</v>
      </c>
      <c r="U399" t="str">
        <f t="shared" si="61"/>
        <v>Employee_0398</v>
      </c>
      <c r="V399" t="str">
        <f t="shared" si="62"/>
        <v>Female</v>
      </c>
      <c r="W399" t="str">
        <f t="shared" si="63"/>
        <v>Operations</v>
      </c>
      <c r="X399" t="str">
        <f t="shared" si="64"/>
        <v>Delhi</v>
      </c>
      <c r="Y399" t="str">
        <f t="shared" si="65"/>
        <v>Valid</v>
      </c>
      <c r="Z399" t="str">
        <f t="shared" si="66"/>
        <v>Valid</v>
      </c>
      <c r="AA399" t="str">
        <f t="shared" si="67"/>
        <v>Valid</v>
      </c>
      <c r="AB399" s="9" t="str">
        <f t="shared" si="68"/>
        <v>Valid</v>
      </c>
      <c r="AC399" s="9" t="str">
        <f t="shared" si="69"/>
        <v>Valid</v>
      </c>
      <c r="AD399" s="9" t="str">
        <f>IF(AND(Y399="Valid",Z399="Valid",AA399="Valid",AB399="Valid",COUNTIF($A$2:A399,A399)=1),"Include","Exclude")</f>
        <v>Include</v>
      </c>
    </row>
    <row r="400" spans="1:30" x14ac:dyDescent="0.35">
      <c r="A400" t="s">
        <v>849</v>
      </c>
      <c r="B400" t="s">
        <v>850</v>
      </c>
      <c r="C400" t="s">
        <v>31</v>
      </c>
      <c r="D400">
        <v>54</v>
      </c>
      <c r="E400" t="s">
        <v>55</v>
      </c>
      <c r="F400" t="s">
        <v>60</v>
      </c>
      <c r="G400" t="s">
        <v>44</v>
      </c>
      <c r="H400" t="s">
        <v>34</v>
      </c>
      <c r="I400">
        <v>17</v>
      </c>
      <c r="J400">
        <v>63142</v>
      </c>
      <c r="K400" t="s">
        <v>26</v>
      </c>
      <c r="L400">
        <v>6</v>
      </c>
      <c r="M400">
        <v>56</v>
      </c>
      <c r="N400">
        <v>5</v>
      </c>
      <c r="O400" t="s">
        <v>27</v>
      </c>
      <c r="P400" t="s">
        <v>27</v>
      </c>
      <c r="Q400">
        <v>4</v>
      </c>
      <c r="R400" t="s">
        <v>28</v>
      </c>
      <c r="S400" t="s">
        <v>27</v>
      </c>
      <c r="T400" t="b">
        <f t="shared" si="60"/>
        <v>0</v>
      </c>
      <c r="U400" t="str">
        <f t="shared" si="61"/>
        <v>Employee_0399</v>
      </c>
      <c r="V400" t="str">
        <f t="shared" si="62"/>
        <v>Male</v>
      </c>
      <c r="W400" t="str">
        <f t="shared" si="63"/>
        <v>Hr</v>
      </c>
      <c r="X400" t="str">
        <f t="shared" si="64"/>
        <v>Gurgaon</v>
      </c>
      <c r="Y400" t="str">
        <f t="shared" si="65"/>
        <v>Valid</v>
      </c>
      <c r="Z400" t="str">
        <f t="shared" si="66"/>
        <v>Valid</v>
      </c>
      <c r="AA400" t="str">
        <f t="shared" si="67"/>
        <v>Valid</v>
      </c>
      <c r="AB400" s="9" t="str">
        <f t="shared" si="68"/>
        <v>Valid</v>
      </c>
      <c r="AC400" s="9" t="str">
        <f t="shared" si="69"/>
        <v>Valid</v>
      </c>
      <c r="AD400" s="9" t="str">
        <f>IF(AND(Y400="Valid",Z400="Valid",AA400="Valid",AB400="Valid",COUNTIF($A$2:A400,A400)=1),"Include","Exclude")</f>
        <v>Include</v>
      </c>
    </row>
    <row r="401" spans="1:30" x14ac:dyDescent="0.35">
      <c r="A401" t="s">
        <v>851</v>
      </c>
      <c r="B401" t="s">
        <v>852</v>
      </c>
      <c r="C401" t="s">
        <v>21</v>
      </c>
      <c r="D401">
        <v>52</v>
      </c>
      <c r="E401" t="s">
        <v>55</v>
      </c>
      <c r="F401" t="s">
        <v>39</v>
      </c>
      <c r="G401" t="s">
        <v>24</v>
      </c>
      <c r="H401" t="s">
        <v>34</v>
      </c>
      <c r="I401">
        <v>24</v>
      </c>
      <c r="J401">
        <v>72847</v>
      </c>
      <c r="K401" t="s">
        <v>40</v>
      </c>
      <c r="L401">
        <v>9</v>
      </c>
      <c r="M401">
        <v>18</v>
      </c>
      <c r="N401">
        <v>7</v>
      </c>
      <c r="O401" t="s">
        <v>27</v>
      </c>
      <c r="P401" t="s">
        <v>27</v>
      </c>
      <c r="Q401">
        <v>5</v>
      </c>
      <c r="R401" t="s">
        <v>27</v>
      </c>
      <c r="S401" t="s">
        <v>27</v>
      </c>
      <c r="T401" t="b">
        <f t="shared" si="60"/>
        <v>0</v>
      </c>
      <c r="U401" t="str">
        <f t="shared" si="61"/>
        <v>Employee_0400</v>
      </c>
      <c r="V401" t="str">
        <f t="shared" si="62"/>
        <v>Female</v>
      </c>
      <c r="W401" t="str">
        <f t="shared" si="63"/>
        <v>Operations</v>
      </c>
      <c r="X401" t="str">
        <f t="shared" si="64"/>
        <v>Gurgaon</v>
      </c>
      <c r="Y401" t="str">
        <f t="shared" si="65"/>
        <v>Valid</v>
      </c>
      <c r="Z401" t="str">
        <f t="shared" si="66"/>
        <v>Valid</v>
      </c>
      <c r="AA401" t="str">
        <f t="shared" si="67"/>
        <v>Valid</v>
      </c>
      <c r="AB401" s="9" t="str">
        <f t="shared" si="68"/>
        <v>Valid</v>
      </c>
      <c r="AC401" s="9" t="str">
        <f t="shared" si="69"/>
        <v>Valid</v>
      </c>
      <c r="AD401" s="9" t="str">
        <f>IF(AND(Y401="Valid",Z401="Valid",AA401="Valid",AB401="Valid",COUNTIF($A$2:A401,A401)=1),"Include","Exclude")</f>
        <v>Include</v>
      </c>
    </row>
    <row r="402" spans="1:30" x14ac:dyDescent="0.35">
      <c r="A402" t="s">
        <v>853</v>
      </c>
      <c r="B402" t="s">
        <v>854</v>
      </c>
      <c r="C402" t="s">
        <v>21</v>
      </c>
      <c r="D402">
        <v>46</v>
      </c>
      <c r="E402" t="s">
        <v>55</v>
      </c>
      <c r="F402" t="s">
        <v>23</v>
      </c>
      <c r="G402" t="s">
        <v>24</v>
      </c>
      <c r="H402" t="s">
        <v>49</v>
      </c>
      <c r="I402">
        <v>21</v>
      </c>
      <c r="J402">
        <v>82000</v>
      </c>
      <c r="K402" t="s">
        <v>26</v>
      </c>
      <c r="L402">
        <v>2</v>
      </c>
      <c r="M402">
        <v>32</v>
      </c>
      <c r="N402">
        <v>5</v>
      </c>
      <c r="O402" t="s">
        <v>28</v>
      </c>
      <c r="P402" t="s">
        <v>28</v>
      </c>
      <c r="Q402">
        <v>4</v>
      </c>
      <c r="R402" t="s">
        <v>28</v>
      </c>
      <c r="S402" t="s">
        <v>27</v>
      </c>
      <c r="T402" t="b">
        <f t="shared" si="60"/>
        <v>0</v>
      </c>
      <c r="U402" t="str">
        <f t="shared" si="61"/>
        <v>Employee_0401</v>
      </c>
      <c r="V402" t="str">
        <f t="shared" si="62"/>
        <v>Female</v>
      </c>
      <c r="W402" t="str">
        <f t="shared" si="63"/>
        <v>Finance</v>
      </c>
      <c r="X402" t="str">
        <f t="shared" si="64"/>
        <v>Delhi</v>
      </c>
      <c r="Y402" t="str">
        <f t="shared" si="65"/>
        <v>Valid</v>
      </c>
      <c r="Z402" t="str">
        <f t="shared" si="66"/>
        <v>Valid</v>
      </c>
      <c r="AA402" t="str">
        <f t="shared" si="67"/>
        <v>Valid</v>
      </c>
      <c r="AB402" s="9" t="str">
        <f t="shared" si="68"/>
        <v>Valid</v>
      </c>
      <c r="AC402" s="9" t="str">
        <f t="shared" si="69"/>
        <v>Valid</v>
      </c>
      <c r="AD402" s="9" t="str">
        <f>IF(AND(Y402="Valid",Z402="Valid",AA402="Valid",AB402="Valid",COUNTIF($A$2:A402,A402)=1),"Include","Exclude")</f>
        <v>Include</v>
      </c>
    </row>
    <row r="403" spans="1:30" x14ac:dyDescent="0.35">
      <c r="A403" t="s">
        <v>855</v>
      </c>
      <c r="B403" t="s">
        <v>856</v>
      </c>
      <c r="C403" t="s">
        <v>31</v>
      </c>
      <c r="D403">
        <v>51</v>
      </c>
      <c r="E403" t="s">
        <v>22</v>
      </c>
      <c r="F403" t="s">
        <v>48</v>
      </c>
      <c r="G403" t="s">
        <v>24</v>
      </c>
      <c r="H403" t="s">
        <v>52</v>
      </c>
      <c r="I403">
        <v>14</v>
      </c>
      <c r="J403">
        <v>48614</v>
      </c>
      <c r="K403" t="s">
        <v>45</v>
      </c>
      <c r="L403">
        <v>6</v>
      </c>
      <c r="M403">
        <v>25</v>
      </c>
      <c r="N403">
        <v>4</v>
      </c>
      <c r="O403" t="s">
        <v>28</v>
      </c>
      <c r="P403" t="s">
        <v>27</v>
      </c>
      <c r="Q403">
        <v>3</v>
      </c>
      <c r="R403" t="s">
        <v>27</v>
      </c>
      <c r="S403" t="s">
        <v>27</v>
      </c>
      <c r="T403" t="b">
        <f t="shared" si="60"/>
        <v>0</v>
      </c>
      <c r="U403" t="str">
        <f t="shared" si="61"/>
        <v>Employee_0402</v>
      </c>
      <c r="V403" t="str">
        <f t="shared" si="62"/>
        <v>Male</v>
      </c>
      <c r="W403" t="str">
        <f t="shared" si="63"/>
        <v>Customer Support</v>
      </c>
      <c r="X403" t="str">
        <f t="shared" si="64"/>
        <v>Mumbai</v>
      </c>
      <c r="Y403" t="str">
        <f t="shared" si="65"/>
        <v>Valid</v>
      </c>
      <c r="Z403" t="str">
        <f t="shared" si="66"/>
        <v>Valid</v>
      </c>
      <c r="AA403" t="str">
        <f t="shared" si="67"/>
        <v>Valid</v>
      </c>
      <c r="AB403" s="9" t="str">
        <f t="shared" si="68"/>
        <v>Valid</v>
      </c>
      <c r="AC403" s="9" t="str">
        <f t="shared" si="69"/>
        <v>Valid</v>
      </c>
      <c r="AD403" s="9" t="str">
        <f>IF(AND(Y403="Valid",Z403="Valid",AA403="Valid",AB403="Valid",COUNTIF($A$2:A403,A403)=1),"Include","Exclude")</f>
        <v>Include</v>
      </c>
    </row>
    <row r="404" spans="1:30" x14ac:dyDescent="0.35">
      <c r="A404" t="s">
        <v>857</v>
      </c>
      <c r="B404" t="s">
        <v>858</v>
      </c>
      <c r="C404" t="s">
        <v>21</v>
      </c>
      <c r="D404">
        <v>46</v>
      </c>
      <c r="E404" t="s">
        <v>38</v>
      </c>
      <c r="F404" t="s">
        <v>60</v>
      </c>
      <c r="G404" t="s">
        <v>24</v>
      </c>
      <c r="H404" t="s">
        <v>131</v>
      </c>
      <c r="I404">
        <v>14</v>
      </c>
      <c r="J404">
        <v>54569</v>
      </c>
      <c r="K404" t="s">
        <v>26</v>
      </c>
      <c r="L404">
        <v>6</v>
      </c>
      <c r="M404">
        <v>38</v>
      </c>
      <c r="N404">
        <v>6</v>
      </c>
      <c r="O404" t="s">
        <v>27</v>
      </c>
      <c r="P404" t="s">
        <v>27</v>
      </c>
      <c r="Q404">
        <v>3</v>
      </c>
      <c r="R404" t="s">
        <v>28</v>
      </c>
      <c r="S404" t="s">
        <v>27</v>
      </c>
      <c r="T404" t="b">
        <f t="shared" si="60"/>
        <v>0</v>
      </c>
      <c r="U404" t="str">
        <f t="shared" si="61"/>
        <v>Employee_0403</v>
      </c>
      <c r="V404" t="str">
        <f t="shared" si="62"/>
        <v>Female</v>
      </c>
      <c r="W404" t="str">
        <f t="shared" si="63"/>
        <v>Hr</v>
      </c>
      <c r="X404" t="str">
        <f t="shared" si="64"/>
        <v>Pune</v>
      </c>
      <c r="Y404" t="str">
        <f t="shared" si="65"/>
        <v>Valid</v>
      </c>
      <c r="Z404" t="str">
        <f t="shared" si="66"/>
        <v>Valid</v>
      </c>
      <c r="AA404" t="str">
        <f t="shared" si="67"/>
        <v>Valid</v>
      </c>
      <c r="AB404" s="9" t="str">
        <f t="shared" si="68"/>
        <v>Valid</v>
      </c>
      <c r="AC404" s="9" t="str">
        <f t="shared" si="69"/>
        <v>Valid</v>
      </c>
      <c r="AD404" s="9" t="str">
        <f>IF(AND(Y404="Valid",Z404="Valid",AA404="Valid",AB404="Valid",COUNTIF($A$2:A404,A404)=1),"Include","Exclude")</f>
        <v>Include</v>
      </c>
    </row>
    <row r="405" spans="1:30" x14ac:dyDescent="0.35">
      <c r="A405" t="s">
        <v>859</v>
      </c>
      <c r="B405" t="s">
        <v>860</v>
      </c>
      <c r="C405" t="s">
        <v>31</v>
      </c>
      <c r="D405">
        <v>55</v>
      </c>
      <c r="E405" t="s">
        <v>22</v>
      </c>
      <c r="F405" t="s">
        <v>43</v>
      </c>
      <c r="G405" t="s">
        <v>24</v>
      </c>
      <c r="H405" t="s">
        <v>52</v>
      </c>
      <c r="I405">
        <v>13</v>
      </c>
      <c r="J405">
        <v>75388</v>
      </c>
      <c r="K405" t="s">
        <v>26</v>
      </c>
      <c r="L405">
        <v>8</v>
      </c>
      <c r="M405">
        <v>11</v>
      </c>
      <c r="N405">
        <v>6</v>
      </c>
      <c r="O405" t="s">
        <v>28</v>
      </c>
      <c r="P405" t="s">
        <v>27</v>
      </c>
      <c r="Q405">
        <v>5</v>
      </c>
      <c r="R405" t="s">
        <v>27</v>
      </c>
      <c r="S405" t="s">
        <v>27</v>
      </c>
      <c r="T405" t="b">
        <f t="shared" si="60"/>
        <v>0</v>
      </c>
      <c r="U405" t="str">
        <f t="shared" si="61"/>
        <v>Employee_0404</v>
      </c>
      <c r="V405" t="str">
        <f t="shared" si="62"/>
        <v>Male</v>
      </c>
      <c r="W405" t="str">
        <f t="shared" si="63"/>
        <v>It</v>
      </c>
      <c r="X405" t="str">
        <f t="shared" si="64"/>
        <v>Mumbai</v>
      </c>
      <c r="Y405" t="str">
        <f t="shared" si="65"/>
        <v>Valid</v>
      </c>
      <c r="Z405" t="str">
        <f t="shared" si="66"/>
        <v>Valid</v>
      </c>
      <c r="AA405" t="str">
        <f t="shared" si="67"/>
        <v>Valid</v>
      </c>
      <c r="AB405" s="9" t="str">
        <f t="shared" si="68"/>
        <v>Valid</v>
      </c>
      <c r="AC405" s="9" t="str">
        <f t="shared" si="69"/>
        <v>Valid</v>
      </c>
      <c r="AD405" s="9" t="str">
        <f>IF(AND(Y405="Valid",Z405="Valid",AA405="Valid",AB405="Valid",COUNTIF($A$2:A405,A405)=1),"Include","Exclude")</f>
        <v>Include</v>
      </c>
    </row>
    <row r="406" spans="1:30" x14ac:dyDescent="0.35">
      <c r="A406" t="s">
        <v>861</v>
      </c>
      <c r="B406" t="s">
        <v>862</v>
      </c>
      <c r="C406" t="s">
        <v>31</v>
      </c>
      <c r="D406">
        <v>23</v>
      </c>
      <c r="E406" t="s">
        <v>55</v>
      </c>
      <c r="F406" t="s">
        <v>33</v>
      </c>
      <c r="G406" t="s">
        <v>24</v>
      </c>
      <c r="H406" t="s">
        <v>61</v>
      </c>
      <c r="I406">
        <v>1</v>
      </c>
      <c r="J406">
        <v>62894</v>
      </c>
      <c r="K406" t="s">
        <v>26</v>
      </c>
      <c r="L406">
        <v>4</v>
      </c>
      <c r="M406">
        <v>50</v>
      </c>
      <c r="N406">
        <v>3</v>
      </c>
      <c r="O406" t="s">
        <v>27</v>
      </c>
      <c r="P406" t="s">
        <v>28</v>
      </c>
      <c r="Q406">
        <v>3</v>
      </c>
      <c r="R406" t="s">
        <v>27</v>
      </c>
      <c r="S406" t="s">
        <v>27</v>
      </c>
      <c r="T406" t="b">
        <f t="shared" si="60"/>
        <v>0</v>
      </c>
      <c r="U406" t="str">
        <f t="shared" si="61"/>
        <v>Employee_0405</v>
      </c>
      <c r="V406" t="str">
        <f t="shared" si="62"/>
        <v>Male</v>
      </c>
      <c r="W406" t="str">
        <f t="shared" si="63"/>
        <v>Sales</v>
      </c>
      <c r="X406" t="str">
        <f t="shared" si="64"/>
        <v>Noida</v>
      </c>
      <c r="Y406" t="str">
        <f t="shared" si="65"/>
        <v>Valid</v>
      </c>
      <c r="Z406" t="str">
        <f t="shared" si="66"/>
        <v>Valid</v>
      </c>
      <c r="AA406" t="str">
        <f t="shared" si="67"/>
        <v>Valid</v>
      </c>
      <c r="AB406" s="9" t="str">
        <f t="shared" si="68"/>
        <v>Valid</v>
      </c>
      <c r="AC406" s="9" t="str">
        <f t="shared" si="69"/>
        <v>Valid</v>
      </c>
      <c r="AD406" s="9" t="str">
        <f>IF(AND(Y406="Valid",Z406="Valid",AA406="Valid",AB406="Valid",COUNTIF($A$2:A406,A406)=1),"Include","Exclude")</f>
        <v>Include</v>
      </c>
    </row>
    <row r="407" spans="1:30" x14ac:dyDescent="0.35">
      <c r="A407" t="s">
        <v>863</v>
      </c>
      <c r="B407" t="s">
        <v>864</v>
      </c>
      <c r="C407" t="s">
        <v>31</v>
      </c>
      <c r="D407">
        <v>24</v>
      </c>
      <c r="E407" t="s">
        <v>38</v>
      </c>
      <c r="F407" t="s">
        <v>39</v>
      </c>
      <c r="G407" t="s">
        <v>24</v>
      </c>
      <c r="H407" t="s">
        <v>70</v>
      </c>
      <c r="I407">
        <v>1</v>
      </c>
      <c r="J407">
        <v>47847</v>
      </c>
      <c r="K407" t="s">
        <v>26</v>
      </c>
      <c r="L407">
        <v>8</v>
      </c>
      <c r="M407">
        <v>33</v>
      </c>
      <c r="N407">
        <v>2</v>
      </c>
      <c r="O407" t="s">
        <v>28</v>
      </c>
      <c r="P407" t="s">
        <v>27</v>
      </c>
      <c r="Q407">
        <v>1</v>
      </c>
      <c r="R407" t="s">
        <v>27</v>
      </c>
      <c r="S407" t="s">
        <v>27</v>
      </c>
      <c r="T407" t="b">
        <f t="shared" si="60"/>
        <v>0</v>
      </c>
      <c r="U407" t="str">
        <f t="shared" si="61"/>
        <v>Employee_0406</v>
      </c>
      <c r="V407" t="str">
        <f t="shared" si="62"/>
        <v>Male</v>
      </c>
      <c r="W407" t="str">
        <f t="shared" si="63"/>
        <v>Operations</v>
      </c>
      <c r="X407" t="str">
        <f t="shared" si="64"/>
        <v>Bangalore</v>
      </c>
      <c r="Y407" t="str">
        <f t="shared" si="65"/>
        <v>Valid</v>
      </c>
      <c r="Z407" t="str">
        <f t="shared" si="66"/>
        <v>Valid</v>
      </c>
      <c r="AA407" t="str">
        <f t="shared" si="67"/>
        <v>Valid</v>
      </c>
      <c r="AB407" s="9" t="str">
        <f t="shared" si="68"/>
        <v>Valid</v>
      </c>
      <c r="AC407" s="9" t="str">
        <f t="shared" si="69"/>
        <v>Valid</v>
      </c>
      <c r="AD407" s="9" t="str">
        <f>IF(AND(Y407="Valid",Z407="Valid",AA407="Valid",AB407="Valid",COUNTIF($A$2:A407,A407)=1),"Include","Exclude")</f>
        <v>Include</v>
      </c>
    </row>
    <row r="408" spans="1:30" x14ac:dyDescent="0.35">
      <c r="A408" t="s">
        <v>865</v>
      </c>
      <c r="B408" t="s">
        <v>866</v>
      </c>
      <c r="C408" t="s">
        <v>31</v>
      </c>
      <c r="D408">
        <v>27</v>
      </c>
      <c r="E408" t="s">
        <v>22</v>
      </c>
      <c r="F408" t="s">
        <v>39</v>
      </c>
      <c r="G408" t="s">
        <v>44</v>
      </c>
      <c r="H408" t="s">
        <v>52</v>
      </c>
      <c r="I408">
        <v>2</v>
      </c>
      <c r="J408">
        <v>44820</v>
      </c>
      <c r="K408" t="s">
        <v>35</v>
      </c>
      <c r="L408">
        <v>5</v>
      </c>
      <c r="M408">
        <v>55</v>
      </c>
      <c r="N408">
        <v>5</v>
      </c>
      <c r="O408" t="s">
        <v>28</v>
      </c>
      <c r="P408" t="s">
        <v>28</v>
      </c>
      <c r="Q408">
        <v>2</v>
      </c>
      <c r="R408" t="s">
        <v>27</v>
      </c>
      <c r="S408" t="s">
        <v>27</v>
      </c>
      <c r="T408" t="b">
        <f t="shared" si="60"/>
        <v>0</v>
      </c>
      <c r="U408" t="str">
        <f t="shared" si="61"/>
        <v>Employee_0407</v>
      </c>
      <c r="V408" t="str">
        <f t="shared" si="62"/>
        <v>Male</v>
      </c>
      <c r="W408" t="str">
        <f t="shared" si="63"/>
        <v>Operations</v>
      </c>
      <c r="X408" t="str">
        <f t="shared" si="64"/>
        <v>Mumbai</v>
      </c>
      <c r="Y408" t="str">
        <f t="shared" si="65"/>
        <v>Valid</v>
      </c>
      <c r="Z408" t="str">
        <f t="shared" si="66"/>
        <v>Valid</v>
      </c>
      <c r="AA408" t="str">
        <f t="shared" si="67"/>
        <v>Valid</v>
      </c>
      <c r="AB408" s="9" t="str">
        <f t="shared" si="68"/>
        <v>Valid</v>
      </c>
      <c r="AC408" s="9" t="str">
        <f t="shared" si="69"/>
        <v>Valid</v>
      </c>
      <c r="AD408" s="9" t="str">
        <f>IF(AND(Y408="Valid",Z408="Valid",AA408="Valid",AB408="Valid",COUNTIF($A$2:A408,A408)=1),"Include","Exclude")</f>
        <v>Include</v>
      </c>
    </row>
    <row r="409" spans="1:30" x14ac:dyDescent="0.35">
      <c r="A409" t="s">
        <v>867</v>
      </c>
      <c r="B409" t="s">
        <v>868</v>
      </c>
      <c r="C409" t="s">
        <v>21</v>
      </c>
      <c r="D409">
        <v>39</v>
      </c>
      <c r="E409" t="s">
        <v>32</v>
      </c>
      <c r="F409" t="s">
        <v>39</v>
      </c>
      <c r="G409" t="s">
        <v>69</v>
      </c>
      <c r="H409" t="s">
        <v>49</v>
      </c>
      <c r="I409">
        <v>13</v>
      </c>
      <c r="J409">
        <v>47882</v>
      </c>
      <c r="K409" t="s">
        <v>45</v>
      </c>
      <c r="L409">
        <v>2</v>
      </c>
      <c r="M409">
        <v>22</v>
      </c>
      <c r="N409">
        <v>7</v>
      </c>
      <c r="O409" t="s">
        <v>27</v>
      </c>
      <c r="P409" t="s">
        <v>28</v>
      </c>
      <c r="Q409">
        <v>3</v>
      </c>
      <c r="R409" t="s">
        <v>28</v>
      </c>
      <c r="S409" t="s">
        <v>28</v>
      </c>
      <c r="T409" t="b">
        <f t="shared" si="60"/>
        <v>0</v>
      </c>
      <c r="U409" t="str">
        <f t="shared" si="61"/>
        <v>Employee_0408</v>
      </c>
      <c r="V409" t="str">
        <f t="shared" si="62"/>
        <v>Female</v>
      </c>
      <c r="W409" t="str">
        <f t="shared" si="63"/>
        <v>Operations</v>
      </c>
      <c r="X409" t="str">
        <f t="shared" si="64"/>
        <v>Delhi</v>
      </c>
      <c r="Y409" t="str">
        <f t="shared" si="65"/>
        <v>Valid</v>
      </c>
      <c r="Z409" t="str">
        <f t="shared" si="66"/>
        <v>Valid</v>
      </c>
      <c r="AA409" t="str">
        <f t="shared" si="67"/>
        <v>Valid</v>
      </c>
      <c r="AB409" s="9" t="str">
        <f t="shared" si="68"/>
        <v>Valid</v>
      </c>
      <c r="AC409" s="9" t="str">
        <f t="shared" si="69"/>
        <v>Valid</v>
      </c>
      <c r="AD409" s="9" t="str">
        <f>IF(AND(Y409="Valid",Z409="Valid",AA409="Valid",AB409="Valid",COUNTIF($A$2:A409,A409)=1),"Include","Exclude")</f>
        <v>Include</v>
      </c>
    </row>
    <row r="410" spans="1:30" x14ac:dyDescent="0.35">
      <c r="A410" t="s">
        <v>869</v>
      </c>
      <c r="B410" t="s">
        <v>870</v>
      </c>
      <c r="C410" t="s">
        <v>21</v>
      </c>
      <c r="D410">
        <v>26</v>
      </c>
      <c r="E410" t="s">
        <v>38</v>
      </c>
      <c r="F410" t="s">
        <v>64</v>
      </c>
      <c r="G410" t="s">
        <v>69</v>
      </c>
      <c r="H410" t="s">
        <v>131</v>
      </c>
      <c r="I410">
        <v>4</v>
      </c>
      <c r="J410">
        <v>63685</v>
      </c>
      <c r="K410" t="s">
        <v>35</v>
      </c>
      <c r="L410">
        <v>2</v>
      </c>
      <c r="M410">
        <v>42</v>
      </c>
      <c r="N410">
        <v>5</v>
      </c>
      <c r="O410" t="s">
        <v>28</v>
      </c>
      <c r="P410" t="s">
        <v>27</v>
      </c>
      <c r="Q410">
        <v>3</v>
      </c>
      <c r="R410" t="s">
        <v>27</v>
      </c>
      <c r="S410" t="s">
        <v>27</v>
      </c>
      <c r="T410" t="b">
        <f t="shared" si="60"/>
        <v>0</v>
      </c>
      <c r="U410" t="str">
        <f t="shared" si="61"/>
        <v>Employee_0409</v>
      </c>
      <c r="V410" t="str">
        <f t="shared" si="62"/>
        <v>Female</v>
      </c>
      <c r="W410" t="str">
        <f t="shared" si="63"/>
        <v>Marketing</v>
      </c>
      <c r="X410" t="str">
        <f t="shared" si="64"/>
        <v>Pune</v>
      </c>
      <c r="Y410" t="str">
        <f t="shared" si="65"/>
        <v>Valid</v>
      </c>
      <c r="Z410" t="str">
        <f t="shared" si="66"/>
        <v>Valid</v>
      </c>
      <c r="AA410" t="str">
        <f t="shared" si="67"/>
        <v>Valid</v>
      </c>
      <c r="AB410" s="9" t="str">
        <f t="shared" si="68"/>
        <v>Valid</v>
      </c>
      <c r="AC410" s="9" t="str">
        <f t="shared" si="69"/>
        <v>Valid</v>
      </c>
      <c r="AD410" s="9" t="str">
        <f>IF(AND(Y410="Valid",Z410="Valid",AA410="Valid",AB410="Valid",COUNTIF($A$2:A410,A410)=1),"Include","Exclude")</f>
        <v>Include</v>
      </c>
    </row>
    <row r="411" spans="1:30" x14ac:dyDescent="0.35">
      <c r="A411" t="s">
        <v>871</v>
      </c>
      <c r="B411" t="s">
        <v>872</v>
      </c>
      <c r="C411" t="s">
        <v>21</v>
      </c>
      <c r="D411">
        <v>38</v>
      </c>
      <c r="E411" t="s">
        <v>38</v>
      </c>
      <c r="F411" t="s">
        <v>33</v>
      </c>
      <c r="G411" t="s">
        <v>24</v>
      </c>
      <c r="H411" t="s">
        <v>61</v>
      </c>
      <c r="I411">
        <v>11</v>
      </c>
      <c r="J411">
        <v>75432</v>
      </c>
      <c r="K411" t="s">
        <v>45</v>
      </c>
      <c r="L411">
        <v>3</v>
      </c>
      <c r="M411">
        <v>47</v>
      </c>
      <c r="N411">
        <v>0</v>
      </c>
      <c r="O411" t="s">
        <v>28</v>
      </c>
      <c r="P411" t="s">
        <v>27</v>
      </c>
      <c r="Q411">
        <v>4</v>
      </c>
      <c r="R411" t="s">
        <v>27</v>
      </c>
      <c r="S411" t="s">
        <v>27</v>
      </c>
      <c r="T411" t="b">
        <f t="shared" si="60"/>
        <v>0</v>
      </c>
      <c r="U411" t="str">
        <f t="shared" si="61"/>
        <v>Employee_0410</v>
      </c>
      <c r="V411" t="str">
        <f t="shared" si="62"/>
        <v>Female</v>
      </c>
      <c r="W411" t="str">
        <f t="shared" si="63"/>
        <v>Sales</v>
      </c>
      <c r="X411" t="str">
        <f t="shared" si="64"/>
        <v>Noida</v>
      </c>
      <c r="Y411" t="str">
        <f t="shared" si="65"/>
        <v>Valid</v>
      </c>
      <c r="Z411" t="str">
        <f t="shared" si="66"/>
        <v>Valid</v>
      </c>
      <c r="AA411" t="str">
        <f t="shared" si="67"/>
        <v>Valid</v>
      </c>
      <c r="AB411" s="9" t="str">
        <f t="shared" si="68"/>
        <v>Valid</v>
      </c>
      <c r="AC411" s="9" t="str">
        <f t="shared" si="69"/>
        <v>Valid</v>
      </c>
      <c r="AD411" s="9" t="str">
        <f>IF(AND(Y411="Valid",Z411="Valid",AA411="Valid",AB411="Valid",COUNTIF($A$2:A411,A411)=1),"Include","Exclude")</f>
        <v>Include</v>
      </c>
    </row>
    <row r="412" spans="1:30" x14ac:dyDescent="0.35">
      <c r="A412" t="s">
        <v>873</v>
      </c>
      <c r="B412" t="s">
        <v>874</v>
      </c>
      <c r="C412" t="s">
        <v>31</v>
      </c>
      <c r="D412">
        <v>25</v>
      </c>
      <c r="E412" t="s">
        <v>22</v>
      </c>
      <c r="F412" t="s">
        <v>33</v>
      </c>
      <c r="G412" t="s">
        <v>24</v>
      </c>
      <c r="H412" t="s">
        <v>52</v>
      </c>
      <c r="I412">
        <v>2</v>
      </c>
      <c r="J412">
        <v>50669</v>
      </c>
      <c r="K412" t="s">
        <v>35</v>
      </c>
      <c r="L412">
        <v>4</v>
      </c>
      <c r="M412">
        <v>46</v>
      </c>
      <c r="N412">
        <v>5</v>
      </c>
      <c r="O412" t="s">
        <v>27</v>
      </c>
      <c r="P412" t="s">
        <v>27</v>
      </c>
      <c r="Q412">
        <v>4</v>
      </c>
      <c r="R412" t="s">
        <v>27</v>
      </c>
      <c r="S412" t="s">
        <v>28</v>
      </c>
      <c r="T412" t="b">
        <f t="shared" si="60"/>
        <v>0</v>
      </c>
      <c r="U412" t="str">
        <f t="shared" si="61"/>
        <v>Employee_0411</v>
      </c>
      <c r="V412" t="str">
        <f t="shared" si="62"/>
        <v>Male</v>
      </c>
      <c r="W412" t="str">
        <f t="shared" si="63"/>
        <v>Sales</v>
      </c>
      <c r="X412" t="str">
        <f t="shared" si="64"/>
        <v>Mumbai</v>
      </c>
      <c r="Y412" t="str">
        <f t="shared" si="65"/>
        <v>Valid</v>
      </c>
      <c r="Z412" t="str">
        <f t="shared" si="66"/>
        <v>Valid</v>
      </c>
      <c r="AA412" t="str">
        <f t="shared" si="67"/>
        <v>Valid</v>
      </c>
      <c r="AB412" s="9" t="str">
        <f t="shared" si="68"/>
        <v>Valid</v>
      </c>
      <c r="AC412" s="9" t="str">
        <f t="shared" si="69"/>
        <v>Valid</v>
      </c>
      <c r="AD412" s="9" t="str">
        <f>IF(AND(Y412="Valid",Z412="Valid",AA412="Valid",AB412="Valid",COUNTIF($A$2:A412,A412)=1),"Include","Exclude")</f>
        <v>Include</v>
      </c>
    </row>
    <row r="413" spans="1:30" x14ac:dyDescent="0.35">
      <c r="A413" t="s">
        <v>875</v>
      </c>
      <c r="B413" t="s">
        <v>876</v>
      </c>
      <c r="C413" t="s">
        <v>31</v>
      </c>
      <c r="D413">
        <v>43</v>
      </c>
      <c r="E413" t="s">
        <v>55</v>
      </c>
      <c r="F413" t="s">
        <v>48</v>
      </c>
      <c r="G413" t="s">
        <v>24</v>
      </c>
      <c r="H413" t="s">
        <v>52</v>
      </c>
      <c r="I413">
        <v>15</v>
      </c>
      <c r="J413">
        <v>69181</v>
      </c>
      <c r="K413" t="s">
        <v>45</v>
      </c>
      <c r="L413">
        <v>6</v>
      </c>
      <c r="M413">
        <v>36</v>
      </c>
      <c r="N413">
        <v>0</v>
      </c>
      <c r="O413" t="s">
        <v>27</v>
      </c>
      <c r="P413" t="s">
        <v>28</v>
      </c>
      <c r="Q413">
        <v>3</v>
      </c>
      <c r="R413" t="s">
        <v>27</v>
      </c>
      <c r="S413" t="s">
        <v>27</v>
      </c>
      <c r="T413" t="b">
        <f t="shared" si="60"/>
        <v>0</v>
      </c>
      <c r="U413" t="str">
        <f t="shared" si="61"/>
        <v>Employee_0412</v>
      </c>
      <c r="V413" t="str">
        <f t="shared" si="62"/>
        <v>Male</v>
      </c>
      <c r="W413" t="str">
        <f t="shared" si="63"/>
        <v>Customer Support</v>
      </c>
      <c r="X413" t="str">
        <f t="shared" si="64"/>
        <v>Mumbai</v>
      </c>
      <c r="Y413" t="str">
        <f t="shared" si="65"/>
        <v>Valid</v>
      </c>
      <c r="Z413" t="str">
        <f t="shared" si="66"/>
        <v>Valid</v>
      </c>
      <c r="AA413" t="str">
        <f t="shared" si="67"/>
        <v>Valid</v>
      </c>
      <c r="AB413" s="9" t="str">
        <f t="shared" si="68"/>
        <v>Valid</v>
      </c>
      <c r="AC413" s="9" t="str">
        <f t="shared" si="69"/>
        <v>Valid</v>
      </c>
      <c r="AD413" s="9" t="str">
        <f>IF(AND(Y413="Valid",Z413="Valid",AA413="Valid",AB413="Valid",COUNTIF($A$2:A413,A413)=1),"Include","Exclude")</f>
        <v>Include</v>
      </c>
    </row>
    <row r="414" spans="1:30" x14ac:dyDescent="0.35">
      <c r="A414" t="s">
        <v>877</v>
      </c>
      <c r="B414" t="s">
        <v>878</v>
      </c>
      <c r="C414" t="s">
        <v>31</v>
      </c>
      <c r="D414">
        <v>27</v>
      </c>
      <c r="E414" t="s">
        <v>38</v>
      </c>
      <c r="F414" t="s">
        <v>60</v>
      </c>
      <c r="G414" t="s">
        <v>24</v>
      </c>
      <c r="H414" t="s">
        <v>52</v>
      </c>
      <c r="I414">
        <v>5</v>
      </c>
      <c r="J414">
        <v>67798</v>
      </c>
      <c r="K414" t="s">
        <v>35</v>
      </c>
      <c r="L414">
        <v>9</v>
      </c>
      <c r="M414">
        <v>51</v>
      </c>
      <c r="N414">
        <v>2</v>
      </c>
      <c r="O414" t="s">
        <v>28</v>
      </c>
      <c r="P414" t="s">
        <v>28</v>
      </c>
      <c r="Q414">
        <v>5</v>
      </c>
      <c r="R414" t="s">
        <v>27</v>
      </c>
      <c r="S414" t="s">
        <v>27</v>
      </c>
      <c r="T414" t="b">
        <f t="shared" si="60"/>
        <v>0</v>
      </c>
      <c r="U414" t="str">
        <f t="shared" si="61"/>
        <v>Employee_0413</v>
      </c>
      <c r="V414" t="str">
        <f t="shared" si="62"/>
        <v>Male</v>
      </c>
      <c r="W414" t="str">
        <f t="shared" si="63"/>
        <v>Hr</v>
      </c>
      <c r="X414" t="str">
        <f t="shared" si="64"/>
        <v>Mumbai</v>
      </c>
      <c r="Y414" t="str">
        <f t="shared" si="65"/>
        <v>Valid</v>
      </c>
      <c r="Z414" t="str">
        <f t="shared" si="66"/>
        <v>Valid</v>
      </c>
      <c r="AA414" t="str">
        <f t="shared" si="67"/>
        <v>Valid</v>
      </c>
      <c r="AB414" s="9" t="str">
        <f t="shared" si="68"/>
        <v>Valid</v>
      </c>
      <c r="AC414" s="9" t="str">
        <f t="shared" si="69"/>
        <v>Valid</v>
      </c>
      <c r="AD414" s="9" t="str">
        <f>IF(AND(Y414="Valid",Z414="Valid",AA414="Valid",AB414="Valid",COUNTIF($A$2:A414,A414)=1),"Include","Exclude")</f>
        <v>Include</v>
      </c>
    </row>
    <row r="415" spans="1:30" x14ac:dyDescent="0.35">
      <c r="A415" t="s">
        <v>879</v>
      </c>
      <c r="B415" t="s">
        <v>880</v>
      </c>
      <c r="C415" t="s">
        <v>21</v>
      </c>
      <c r="D415">
        <v>49</v>
      </c>
      <c r="E415" t="s">
        <v>55</v>
      </c>
      <c r="F415" t="s">
        <v>43</v>
      </c>
      <c r="G415" t="s">
        <v>24</v>
      </c>
      <c r="H415" t="s">
        <v>131</v>
      </c>
      <c r="I415">
        <v>12</v>
      </c>
      <c r="J415">
        <v>69295</v>
      </c>
      <c r="K415" t="s">
        <v>35</v>
      </c>
      <c r="L415">
        <v>10</v>
      </c>
      <c r="M415">
        <v>29</v>
      </c>
      <c r="N415">
        <v>6</v>
      </c>
      <c r="O415" t="s">
        <v>28</v>
      </c>
      <c r="P415" t="s">
        <v>28</v>
      </c>
      <c r="Q415">
        <v>5</v>
      </c>
      <c r="R415" t="s">
        <v>27</v>
      </c>
      <c r="S415" t="s">
        <v>28</v>
      </c>
      <c r="T415" t="b">
        <f t="shared" si="60"/>
        <v>0</v>
      </c>
      <c r="U415" t="str">
        <f t="shared" si="61"/>
        <v>Employee_0414</v>
      </c>
      <c r="V415" t="str">
        <f t="shared" si="62"/>
        <v>Female</v>
      </c>
      <c r="W415" t="str">
        <f t="shared" si="63"/>
        <v>It</v>
      </c>
      <c r="X415" t="str">
        <f t="shared" si="64"/>
        <v>Pune</v>
      </c>
      <c r="Y415" t="str">
        <f t="shared" si="65"/>
        <v>Valid</v>
      </c>
      <c r="Z415" t="str">
        <f t="shared" si="66"/>
        <v>Valid</v>
      </c>
      <c r="AA415" t="str">
        <f t="shared" si="67"/>
        <v>Valid</v>
      </c>
      <c r="AB415" s="9" t="str">
        <f t="shared" si="68"/>
        <v>Valid</v>
      </c>
      <c r="AC415" s="9" t="str">
        <f t="shared" si="69"/>
        <v>Valid</v>
      </c>
      <c r="AD415" s="9" t="str">
        <f>IF(AND(Y415="Valid",Z415="Valid",AA415="Valid",AB415="Valid",COUNTIF($A$2:A415,A415)=1),"Include","Exclude")</f>
        <v>Include</v>
      </c>
    </row>
    <row r="416" spans="1:30" x14ac:dyDescent="0.35">
      <c r="A416" t="s">
        <v>881</v>
      </c>
      <c r="B416" t="s">
        <v>882</v>
      </c>
      <c r="C416" t="s">
        <v>31</v>
      </c>
      <c r="D416">
        <v>32</v>
      </c>
      <c r="E416" t="s">
        <v>32</v>
      </c>
      <c r="F416" t="s">
        <v>60</v>
      </c>
      <c r="G416" t="s">
        <v>24</v>
      </c>
      <c r="H416" t="s">
        <v>70</v>
      </c>
      <c r="I416">
        <v>5</v>
      </c>
      <c r="J416">
        <v>50402</v>
      </c>
      <c r="K416" t="s">
        <v>45</v>
      </c>
      <c r="L416">
        <v>9</v>
      </c>
      <c r="M416">
        <v>28</v>
      </c>
      <c r="N416">
        <v>4</v>
      </c>
      <c r="O416" t="s">
        <v>28</v>
      </c>
      <c r="P416" t="s">
        <v>28</v>
      </c>
      <c r="Q416">
        <v>3</v>
      </c>
      <c r="R416" t="s">
        <v>28</v>
      </c>
      <c r="S416" t="s">
        <v>27</v>
      </c>
      <c r="T416" t="b">
        <f t="shared" si="60"/>
        <v>0</v>
      </c>
      <c r="U416" t="str">
        <f t="shared" si="61"/>
        <v>Employee_0415</v>
      </c>
      <c r="V416" t="str">
        <f t="shared" si="62"/>
        <v>Male</v>
      </c>
      <c r="W416" t="str">
        <f t="shared" si="63"/>
        <v>Hr</v>
      </c>
      <c r="X416" t="str">
        <f t="shared" si="64"/>
        <v>Bangalore</v>
      </c>
      <c r="Y416" t="str">
        <f t="shared" si="65"/>
        <v>Valid</v>
      </c>
      <c r="Z416" t="str">
        <f t="shared" si="66"/>
        <v>Valid</v>
      </c>
      <c r="AA416" t="str">
        <f t="shared" si="67"/>
        <v>Valid</v>
      </c>
      <c r="AB416" s="9" t="str">
        <f t="shared" si="68"/>
        <v>Valid</v>
      </c>
      <c r="AC416" s="9" t="str">
        <f t="shared" si="69"/>
        <v>Valid</v>
      </c>
      <c r="AD416" s="9" t="str">
        <f>IF(AND(Y416="Valid",Z416="Valid",AA416="Valid",AB416="Valid",COUNTIF($A$2:A416,A416)=1),"Include","Exclude")</f>
        <v>Include</v>
      </c>
    </row>
    <row r="417" spans="1:30" x14ac:dyDescent="0.35">
      <c r="A417" t="s">
        <v>883</v>
      </c>
      <c r="B417" t="s">
        <v>884</v>
      </c>
      <c r="C417" t="s">
        <v>31</v>
      </c>
      <c r="D417">
        <v>44</v>
      </c>
      <c r="E417" t="s">
        <v>38</v>
      </c>
      <c r="F417" t="s">
        <v>64</v>
      </c>
      <c r="G417" t="s">
        <v>24</v>
      </c>
      <c r="H417" t="s">
        <v>131</v>
      </c>
      <c r="I417">
        <v>17</v>
      </c>
      <c r="J417">
        <v>70896</v>
      </c>
      <c r="K417" t="s">
        <v>45</v>
      </c>
      <c r="L417">
        <v>4</v>
      </c>
      <c r="M417">
        <v>31</v>
      </c>
      <c r="N417">
        <v>4</v>
      </c>
      <c r="O417" t="s">
        <v>27</v>
      </c>
      <c r="P417" t="s">
        <v>28</v>
      </c>
      <c r="Q417">
        <v>4</v>
      </c>
      <c r="R417" t="s">
        <v>28</v>
      </c>
      <c r="S417" t="s">
        <v>27</v>
      </c>
      <c r="T417" t="b">
        <f t="shared" si="60"/>
        <v>0</v>
      </c>
      <c r="U417" t="str">
        <f t="shared" si="61"/>
        <v>Employee_0416</v>
      </c>
      <c r="V417" t="str">
        <f t="shared" si="62"/>
        <v>Male</v>
      </c>
      <c r="W417" t="str">
        <f t="shared" si="63"/>
        <v>Marketing</v>
      </c>
      <c r="X417" t="str">
        <f t="shared" si="64"/>
        <v>Pune</v>
      </c>
      <c r="Y417" t="str">
        <f t="shared" si="65"/>
        <v>Valid</v>
      </c>
      <c r="Z417" t="str">
        <f t="shared" si="66"/>
        <v>Valid</v>
      </c>
      <c r="AA417" t="str">
        <f t="shared" si="67"/>
        <v>Valid</v>
      </c>
      <c r="AB417" s="9" t="str">
        <f t="shared" si="68"/>
        <v>Valid</v>
      </c>
      <c r="AC417" s="9" t="str">
        <f t="shared" si="69"/>
        <v>Valid</v>
      </c>
      <c r="AD417" s="9" t="str">
        <f>IF(AND(Y417="Valid",Z417="Valid",AA417="Valid",AB417="Valid",COUNTIF($A$2:A417,A417)=1),"Include","Exclude")</f>
        <v>Include</v>
      </c>
    </row>
    <row r="418" spans="1:30" x14ac:dyDescent="0.35">
      <c r="A418" t="s">
        <v>885</v>
      </c>
      <c r="B418" t="s">
        <v>886</v>
      </c>
      <c r="C418" t="s">
        <v>31</v>
      </c>
      <c r="D418">
        <v>37</v>
      </c>
      <c r="E418" t="s">
        <v>55</v>
      </c>
      <c r="F418" t="s">
        <v>33</v>
      </c>
      <c r="G418" t="s">
        <v>24</v>
      </c>
      <c r="H418" t="s">
        <v>52</v>
      </c>
      <c r="I418">
        <v>9</v>
      </c>
      <c r="J418">
        <v>60921</v>
      </c>
      <c r="K418" t="s">
        <v>45</v>
      </c>
      <c r="L418">
        <v>4</v>
      </c>
      <c r="M418">
        <v>32</v>
      </c>
      <c r="N418">
        <v>2</v>
      </c>
      <c r="O418" t="s">
        <v>27</v>
      </c>
      <c r="P418" t="s">
        <v>28</v>
      </c>
      <c r="Q418">
        <v>2</v>
      </c>
      <c r="R418" t="s">
        <v>28</v>
      </c>
      <c r="S418" t="s">
        <v>27</v>
      </c>
      <c r="T418" t="b">
        <f t="shared" si="60"/>
        <v>0</v>
      </c>
      <c r="U418" t="str">
        <f t="shared" si="61"/>
        <v>Employee_0417</v>
      </c>
      <c r="V418" t="str">
        <f t="shared" si="62"/>
        <v>Male</v>
      </c>
      <c r="W418" t="str">
        <f t="shared" si="63"/>
        <v>Sales</v>
      </c>
      <c r="X418" t="str">
        <f t="shared" si="64"/>
        <v>Mumbai</v>
      </c>
      <c r="Y418" t="str">
        <f t="shared" si="65"/>
        <v>Valid</v>
      </c>
      <c r="Z418" t="str">
        <f t="shared" si="66"/>
        <v>Valid</v>
      </c>
      <c r="AA418" t="str">
        <f t="shared" si="67"/>
        <v>Valid</v>
      </c>
      <c r="AB418" s="9" t="str">
        <f t="shared" si="68"/>
        <v>Valid</v>
      </c>
      <c r="AC418" s="9" t="str">
        <f t="shared" si="69"/>
        <v>Valid</v>
      </c>
      <c r="AD418" s="9" t="str">
        <f>IF(AND(Y418="Valid",Z418="Valid",AA418="Valid",AB418="Valid",COUNTIF($A$2:A418,A418)=1),"Include","Exclude")</f>
        <v>Include</v>
      </c>
    </row>
    <row r="419" spans="1:30" x14ac:dyDescent="0.35">
      <c r="A419" t="s">
        <v>887</v>
      </c>
      <c r="B419" t="s">
        <v>888</v>
      </c>
      <c r="C419" t="s">
        <v>21</v>
      </c>
      <c r="D419">
        <v>41</v>
      </c>
      <c r="E419" t="s">
        <v>38</v>
      </c>
      <c r="F419" t="s">
        <v>39</v>
      </c>
      <c r="G419" t="s">
        <v>24</v>
      </c>
      <c r="H419" t="s">
        <v>34</v>
      </c>
      <c r="I419">
        <v>13</v>
      </c>
      <c r="J419">
        <v>47308</v>
      </c>
      <c r="K419" t="s">
        <v>45</v>
      </c>
      <c r="L419">
        <v>8</v>
      </c>
      <c r="M419">
        <v>43</v>
      </c>
      <c r="N419">
        <v>0</v>
      </c>
      <c r="O419" t="s">
        <v>27</v>
      </c>
      <c r="P419" t="s">
        <v>28</v>
      </c>
      <c r="Q419">
        <v>2</v>
      </c>
      <c r="R419" t="s">
        <v>27</v>
      </c>
      <c r="S419" t="s">
        <v>27</v>
      </c>
      <c r="T419" t="b">
        <f t="shared" si="60"/>
        <v>0</v>
      </c>
      <c r="U419" t="str">
        <f t="shared" si="61"/>
        <v>Employee_0418</v>
      </c>
      <c r="V419" t="str">
        <f t="shared" si="62"/>
        <v>Female</v>
      </c>
      <c r="W419" t="str">
        <f t="shared" si="63"/>
        <v>Operations</v>
      </c>
      <c r="X419" t="str">
        <f t="shared" si="64"/>
        <v>Gurgaon</v>
      </c>
      <c r="Y419" t="str">
        <f t="shared" si="65"/>
        <v>Valid</v>
      </c>
      <c r="Z419" t="str">
        <f t="shared" si="66"/>
        <v>Valid</v>
      </c>
      <c r="AA419" t="str">
        <f t="shared" si="67"/>
        <v>Valid</v>
      </c>
      <c r="AB419" s="9" t="str">
        <f t="shared" si="68"/>
        <v>Valid</v>
      </c>
      <c r="AC419" s="9" t="str">
        <f t="shared" si="69"/>
        <v>Valid</v>
      </c>
      <c r="AD419" s="9" t="str">
        <f>IF(AND(Y419="Valid",Z419="Valid",AA419="Valid",AB419="Valid",COUNTIF($A$2:A419,A419)=1),"Include","Exclude")</f>
        <v>Include</v>
      </c>
    </row>
    <row r="420" spans="1:30" x14ac:dyDescent="0.35">
      <c r="A420" t="s">
        <v>889</v>
      </c>
      <c r="B420" t="s">
        <v>890</v>
      </c>
      <c r="C420" t="s">
        <v>21</v>
      </c>
      <c r="D420">
        <v>46</v>
      </c>
      <c r="E420" t="s">
        <v>55</v>
      </c>
      <c r="F420" t="s">
        <v>48</v>
      </c>
      <c r="G420" t="s">
        <v>24</v>
      </c>
      <c r="H420" t="s">
        <v>61</v>
      </c>
      <c r="I420">
        <v>16</v>
      </c>
      <c r="J420">
        <v>54060</v>
      </c>
      <c r="K420" t="s">
        <v>26</v>
      </c>
      <c r="L420">
        <v>2</v>
      </c>
      <c r="M420">
        <v>40</v>
      </c>
      <c r="N420">
        <v>4</v>
      </c>
      <c r="O420" t="s">
        <v>28</v>
      </c>
      <c r="P420" t="s">
        <v>28</v>
      </c>
      <c r="Q420">
        <v>5</v>
      </c>
      <c r="R420" t="s">
        <v>27</v>
      </c>
      <c r="S420" t="s">
        <v>28</v>
      </c>
      <c r="T420" t="b">
        <f t="shared" si="60"/>
        <v>0</v>
      </c>
      <c r="U420" t="str">
        <f t="shared" si="61"/>
        <v>Employee_0419</v>
      </c>
      <c r="V420" t="str">
        <f t="shared" si="62"/>
        <v>Female</v>
      </c>
      <c r="W420" t="str">
        <f t="shared" si="63"/>
        <v>Customer Support</v>
      </c>
      <c r="X420" t="str">
        <f t="shared" si="64"/>
        <v>Noida</v>
      </c>
      <c r="Y420" t="str">
        <f t="shared" si="65"/>
        <v>Valid</v>
      </c>
      <c r="Z420" t="str">
        <f t="shared" si="66"/>
        <v>Valid</v>
      </c>
      <c r="AA420" t="str">
        <f t="shared" si="67"/>
        <v>Valid</v>
      </c>
      <c r="AB420" s="9" t="str">
        <f t="shared" si="68"/>
        <v>Valid</v>
      </c>
      <c r="AC420" s="9" t="str">
        <f t="shared" si="69"/>
        <v>Valid</v>
      </c>
      <c r="AD420" s="9" t="str">
        <f>IF(AND(Y420="Valid",Z420="Valid",AA420="Valid",AB420="Valid",COUNTIF($A$2:A420,A420)=1),"Include","Exclude")</f>
        <v>Include</v>
      </c>
    </row>
    <row r="421" spans="1:30" x14ac:dyDescent="0.35">
      <c r="A421" t="s">
        <v>891</v>
      </c>
      <c r="B421" t="s">
        <v>892</v>
      </c>
      <c r="C421" t="s">
        <v>31</v>
      </c>
      <c r="D421">
        <v>41</v>
      </c>
      <c r="E421" t="s">
        <v>55</v>
      </c>
      <c r="F421" t="s">
        <v>48</v>
      </c>
      <c r="G421" t="s">
        <v>69</v>
      </c>
      <c r="H421" t="s">
        <v>49</v>
      </c>
      <c r="I421">
        <v>8</v>
      </c>
      <c r="J421">
        <v>46418</v>
      </c>
      <c r="K421" t="s">
        <v>35</v>
      </c>
      <c r="L421">
        <v>1</v>
      </c>
      <c r="M421">
        <v>36</v>
      </c>
      <c r="N421">
        <v>5</v>
      </c>
      <c r="O421" t="s">
        <v>27</v>
      </c>
      <c r="P421" t="s">
        <v>28</v>
      </c>
      <c r="Q421">
        <v>4</v>
      </c>
      <c r="R421" t="s">
        <v>27</v>
      </c>
      <c r="S421" t="s">
        <v>27</v>
      </c>
      <c r="T421" t="b">
        <f t="shared" si="60"/>
        <v>0</v>
      </c>
      <c r="U421" t="str">
        <f t="shared" si="61"/>
        <v>Employee_0420</v>
      </c>
      <c r="V421" t="str">
        <f t="shared" si="62"/>
        <v>Male</v>
      </c>
      <c r="W421" t="str">
        <f t="shared" si="63"/>
        <v>Customer Support</v>
      </c>
      <c r="X421" t="str">
        <f t="shared" si="64"/>
        <v>Delhi</v>
      </c>
      <c r="Y421" t="str">
        <f t="shared" si="65"/>
        <v>Valid</v>
      </c>
      <c r="Z421" t="str">
        <f t="shared" si="66"/>
        <v>Valid</v>
      </c>
      <c r="AA421" t="str">
        <f t="shared" si="67"/>
        <v>Valid</v>
      </c>
      <c r="AB421" s="9" t="str">
        <f t="shared" si="68"/>
        <v>Valid</v>
      </c>
      <c r="AC421" s="9" t="str">
        <f t="shared" si="69"/>
        <v>Valid</v>
      </c>
      <c r="AD421" s="9" t="str">
        <f>IF(AND(Y421="Valid",Z421="Valid",AA421="Valid",AB421="Valid",COUNTIF($A$2:A421,A421)=1),"Include","Exclude")</f>
        <v>Include</v>
      </c>
    </row>
    <row r="422" spans="1:30" x14ac:dyDescent="0.35">
      <c r="A422" t="s">
        <v>893</v>
      </c>
      <c r="B422" t="s">
        <v>894</v>
      </c>
      <c r="C422" t="s">
        <v>21</v>
      </c>
      <c r="D422">
        <v>44</v>
      </c>
      <c r="E422" t="s">
        <v>38</v>
      </c>
      <c r="F422" t="s">
        <v>64</v>
      </c>
      <c r="G422" t="s">
        <v>24</v>
      </c>
      <c r="H422" t="s">
        <v>895</v>
      </c>
      <c r="I422">
        <v>17</v>
      </c>
      <c r="J422">
        <v>77220</v>
      </c>
      <c r="K422" t="s">
        <v>35</v>
      </c>
      <c r="L422">
        <v>2</v>
      </c>
      <c r="M422">
        <v>41</v>
      </c>
      <c r="N422">
        <v>6</v>
      </c>
      <c r="O422" t="s">
        <v>27</v>
      </c>
      <c r="P422" t="s">
        <v>28</v>
      </c>
      <c r="Q422">
        <v>2</v>
      </c>
      <c r="R422" t="s">
        <v>28</v>
      </c>
      <c r="S422" t="s">
        <v>28</v>
      </c>
      <c r="T422" t="b">
        <f t="shared" si="60"/>
        <v>0</v>
      </c>
      <c r="U422" t="str">
        <f t="shared" si="61"/>
        <v>Employee_0421</v>
      </c>
      <c r="V422" t="str">
        <f t="shared" si="62"/>
        <v>Female</v>
      </c>
      <c r="W422" t="str">
        <f t="shared" si="63"/>
        <v>Marketing</v>
      </c>
      <c r="X422" t="str">
        <f t="shared" si="64"/>
        <v>Delhi</v>
      </c>
      <c r="Y422" t="str">
        <f t="shared" si="65"/>
        <v>Valid</v>
      </c>
      <c r="Z422" t="str">
        <f t="shared" si="66"/>
        <v>Valid</v>
      </c>
      <c r="AA422" t="str">
        <f t="shared" si="67"/>
        <v>Valid</v>
      </c>
      <c r="AB422" s="9" t="str">
        <f t="shared" si="68"/>
        <v>Valid</v>
      </c>
      <c r="AC422" s="9" t="str">
        <f t="shared" si="69"/>
        <v>Valid</v>
      </c>
      <c r="AD422" s="9" t="str">
        <f>IF(AND(Y422="Valid",Z422="Valid",AA422="Valid",AB422="Valid",COUNTIF($A$2:A422,A422)=1),"Include","Exclude")</f>
        <v>Include</v>
      </c>
    </row>
    <row r="423" spans="1:30" x14ac:dyDescent="0.35">
      <c r="A423" t="s">
        <v>896</v>
      </c>
      <c r="B423" t="s">
        <v>897</v>
      </c>
      <c r="C423" t="s">
        <v>31</v>
      </c>
      <c r="D423">
        <v>32</v>
      </c>
      <c r="E423" t="s">
        <v>38</v>
      </c>
      <c r="F423" t="s">
        <v>60</v>
      </c>
      <c r="G423" t="s">
        <v>69</v>
      </c>
      <c r="H423" t="s">
        <v>25</v>
      </c>
      <c r="I423">
        <v>7</v>
      </c>
      <c r="J423">
        <v>63398</v>
      </c>
      <c r="K423" t="s">
        <v>45</v>
      </c>
      <c r="L423">
        <v>4</v>
      </c>
      <c r="M423">
        <v>25</v>
      </c>
      <c r="N423">
        <v>4</v>
      </c>
      <c r="O423" t="s">
        <v>28</v>
      </c>
      <c r="P423" t="s">
        <v>27</v>
      </c>
      <c r="Q423">
        <v>4</v>
      </c>
      <c r="R423" t="s">
        <v>27</v>
      </c>
      <c r="S423" t="s">
        <v>28</v>
      </c>
      <c r="T423" t="b">
        <f t="shared" si="60"/>
        <v>0</v>
      </c>
      <c r="U423" t="str">
        <f t="shared" si="61"/>
        <v>Employee_0422</v>
      </c>
      <c r="V423" t="str">
        <f t="shared" si="62"/>
        <v>Male</v>
      </c>
      <c r="W423" t="str">
        <f t="shared" si="63"/>
        <v>Hr</v>
      </c>
      <c r="X423" t="str">
        <f t="shared" si="64"/>
        <v>Hyderabad</v>
      </c>
      <c r="Y423" t="str">
        <f t="shared" si="65"/>
        <v>Valid</v>
      </c>
      <c r="Z423" t="str">
        <f t="shared" si="66"/>
        <v>Valid</v>
      </c>
      <c r="AA423" t="str">
        <f t="shared" si="67"/>
        <v>Valid</v>
      </c>
      <c r="AB423" s="9" t="str">
        <f t="shared" si="68"/>
        <v>Valid</v>
      </c>
      <c r="AC423" s="9" t="str">
        <f t="shared" si="69"/>
        <v>Valid</v>
      </c>
      <c r="AD423" s="9" t="str">
        <f>IF(AND(Y423="Valid",Z423="Valid",AA423="Valid",AB423="Valid",COUNTIF($A$2:A423,A423)=1),"Include","Exclude")</f>
        <v>Include</v>
      </c>
    </row>
    <row r="424" spans="1:30" x14ac:dyDescent="0.35">
      <c r="A424" t="s">
        <v>898</v>
      </c>
      <c r="B424" t="s">
        <v>899</v>
      </c>
      <c r="C424" t="s">
        <v>31</v>
      </c>
      <c r="D424">
        <v>45</v>
      </c>
      <c r="E424" t="s">
        <v>55</v>
      </c>
      <c r="F424" t="s">
        <v>23</v>
      </c>
      <c r="G424" t="s">
        <v>24</v>
      </c>
      <c r="H424" t="s">
        <v>70</v>
      </c>
      <c r="I424">
        <v>18</v>
      </c>
      <c r="J424">
        <v>79371</v>
      </c>
      <c r="K424" t="s">
        <v>40</v>
      </c>
      <c r="L424">
        <v>8</v>
      </c>
      <c r="M424">
        <v>36</v>
      </c>
      <c r="N424">
        <v>7</v>
      </c>
      <c r="O424" t="s">
        <v>28</v>
      </c>
      <c r="P424" t="s">
        <v>27</v>
      </c>
      <c r="Q424">
        <v>5</v>
      </c>
      <c r="R424" t="s">
        <v>27</v>
      </c>
      <c r="S424" t="s">
        <v>27</v>
      </c>
      <c r="T424" t="b">
        <f t="shared" si="60"/>
        <v>0</v>
      </c>
      <c r="U424" t="str">
        <f t="shared" si="61"/>
        <v>Employee_0423</v>
      </c>
      <c r="V424" t="str">
        <f t="shared" si="62"/>
        <v>Male</v>
      </c>
      <c r="W424" t="str">
        <f t="shared" si="63"/>
        <v>Finance</v>
      </c>
      <c r="X424" t="str">
        <f t="shared" si="64"/>
        <v>Bangalore</v>
      </c>
      <c r="Y424" t="str">
        <f t="shared" si="65"/>
        <v>Valid</v>
      </c>
      <c r="Z424" t="str">
        <f t="shared" si="66"/>
        <v>Valid</v>
      </c>
      <c r="AA424" t="str">
        <f t="shared" si="67"/>
        <v>Valid</v>
      </c>
      <c r="AB424" s="9" t="str">
        <f t="shared" si="68"/>
        <v>Valid</v>
      </c>
      <c r="AC424" s="9" t="str">
        <f t="shared" si="69"/>
        <v>Valid</v>
      </c>
      <c r="AD424" s="9" t="str">
        <f>IF(AND(Y424="Valid",Z424="Valid",AA424="Valid",AB424="Valid",COUNTIF($A$2:A424,A424)=1),"Include","Exclude")</f>
        <v>Include</v>
      </c>
    </row>
    <row r="425" spans="1:30" x14ac:dyDescent="0.35">
      <c r="A425" t="s">
        <v>900</v>
      </c>
      <c r="B425" t="s">
        <v>901</v>
      </c>
      <c r="C425" t="s">
        <v>21</v>
      </c>
      <c r="D425">
        <v>51</v>
      </c>
      <c r="E425" t="s">
        <v>55</v>
      </c>
      <c r="F425" t="s">
        <v>43</v>
      </c>
      <c r="G425" t="s">
        <v>69</v>
      </c>
      <c r="H425" t="s">
        <v>25</v>
      </c>
      <c r="I425">
        <v>13</v>
      </c>
      <c r="J425">
        <v>82000</v>
      </c>
      <c r="K425" t="s">
        <v>45</v>
      </c>
      <c r="L425">
        <v>5</v>
      </c>
      <c r="M425">
        <v>23</v>
      </c>
      <c r="N425">
        <v>4</v>
      </c>
      <c r="O425" t="s">
        <v>28</v>
      </c>
      <c r="P425" t="s">
        <v>27</v>
      </c>
      <c r="Q425">
        <v>3</v>
      </c>
      <c r="R425" t="s">
        <v>27</v>
      </c>
      <c r="S425" t="s">
        <v>27</v>
      </c>
      <c r="T425" t="b">
        <f t="shared" si="60"/>
        <v>0</v>
      </c>
      <c r="U425" t="str">
        <f t="shared" si="61"/>
        <v>Employee_0424</v>
      </c>
      <c r="V425" t="str">
        <f t="shared" si="62"/>
        <v>Female</v>
      </c>
      <c r="W425" t="str">
        <f t="shared" si="63"/>
        <v>It</v>
      </c>
      <c r="X425" t="str">
        <f t="shared" si="64"/>
        <v>Hyderabad</v>
      </c>
      <c r="Y425" t="str">
        <f t="shared" si="65"/>
        <v>Valid</v>
      </c>
      <c r="Z425" t="str">
        <f t="shared" si="66"/>
        <v>Valid</v>
      </c>
      <c r="AA425" t="str">
        <f t="shared" si="67"/>
        <v>Valid</v>
      </c>
      <c r="AB425" s="9" t="str">
        <f t="shared" si="68"/>
        <v>Valid</v>
      </c>
      <c r="AC425" s="9" t="str">
        <f t="shared" si="69"/>
        <v>Valid</v>
      </c>
      <c r="AD425" s="9" t="str">
        <f>IF(AND(Y425="Valid",Z425="Valid",AA425="Valid",AB425="Valid",COUNTIF($A$2:A425,A425)=1),"Include","Exclude")</f>
        <v>Include</v>
      </c>
    </row>
    <row r="426" spans="1:30" x14ac:dyDescent="0.35">
      <c r="A426" t="s">
        <v>902</v>
      </c>
      <c r="B426" t="s">
        <v>903</v>
      </c>
      <c r="C426" t="s">
        <v>31</v>
      </c>
      <c r="D426">
        <v>55</v>
      </c>
      <c r="E426" t="s">
        <v>55</v>
      </c>
      <c r="F426" t="s">
        <v>60</v>
      </c>
      <c r="G426" t="s">
        <v>69</v>
      </c>
      <c r="H426" t="s">
        <v>131</v>
      </c>
      <c r="I426">
        <v>19</v>
      </c>
      <c r="J426">
        <v>70224</v>
      </c>
      <c r="K426" t="s">
        <v>26</v>
      </c>
      <c r="L426">
        <v>8</v>
      </c>
      <c r="M426">
        <v>46</v>
      </c>
      <c r="N426">
        <v>3</v>
      </c>
      <c r="O426" t="s">
        <v>28</v>
      </c>
      <c r="P426" t="s">
        <v>28</v>
      </c>
      <c r="Q426">
        <v>1</v>
      </c>
      <c r="R426" t="s">
        <v>27</v>
      </c>
      <c r="S426" t="s">
        <v>27</v>
      </c>
      <c r="T426" t="b">
        <f t="shared" si="60"/>
        <v>0</v>
      </c>
      <c r="U426" t="str">
        <f t="shared" si="61"/>
        <v>Employee_0425</v>
      </c>
      <c r="V426" t="str">
        <f t="shared" si="62"/>
        <v>Male</v>
      </c>
      <c r="W426" t="str">
        <f t="shared" si="63"/>
        <v>Hr</v>
      </c>
      <c r="X426" t="str">
        <f t="shared" si="64"/>
        <v>Pune</v>
      </c>
      <c r="Y426" t="str">
        <f t="shared" si="65"/>
        <v>Valid</v>
      </c>
      <c r="Z426" t="str">
        <f t="shared" si="66"/>
        <v>Valid</v>
      </c>
      <c r="AA426" t="str">
        <f t="shared" si="67"/>
        <v>Valid</v>
      </c>
      <c r="AB426" s="9" t="str">
        <f t="shared" si="68"/>
        <v>Valid</v>
      </c>
      <c r="AC426" s="9" t="str">
        <f t="shared" si="69"/>
        <v>Valid</v>
      </c>
      <c r="AD426" s="9" t="str">
        <f>IF(AND(Y426="Valid",Z426="Valid",AA426="Valid",AB426="Valid",COUNTIF($A$2:A426,A426)=1),"Include","Exclude")</f>
        <v>Include</v>
      </c>
    </row>
    <row r="427" spans="1:30" x14ac:dyDescent="0.35">
      <c r="A427" t="s">
        <v>904</v>
      </c>
      <c r="B427" t="s">
        <v>905</v>
      </c>
      <c r="C427" t="s">
        <v>21</v>
      </c>
      <c r="D427">
        <v>54</v>
      </c>
      <c r="E427" t="s">
        <v>38</v>
      </c>
      <c r="F427" t="s">
        <v>33</v>
      </c>
      <c r="G427" t="s">
        <v>24</v>
      </c>
      <c r="H427" t="s">
        <v>131</v>
      </c>
      <c r="I427">
        <v>27</v>
      </c>
      <c r="J427">
        <v>69122</v>
      </c>
      <c r="K427" t="s">
        <v>35</v>
      </c>
      <c r="L427">
        <v>7</v>
      </c>
      <c r="M427">
        <v>21</v>
      </c>
      <c r="N427">
        <v>6</v>
      </c>
      <c r="O427" t="s">
        <v>27</v>
      </c>
      <c r="P427" t="s">
        <v>28</v>
      </c>
      <c r="Q427">
        <v>5</v>
      </c>
      <c r="R427" t="s">
        <v>27</v>
      </c>
      <c r="S427" t="s">
        <v>27</v>
      </c>
      <c r="T427" t="b">
        <f t="shared" si="60"/>
        <v>0</v>
      </c>
      <c r="U427" t="str">
        <f t="shared" si="61"/>
        <v>Employee_0426</v>
      </c>
      <c r="V427" t="str">
        <f t="shared" si="62"/>
        <v>Female</v>
      </c>
      <c r="W427" t="str">
        <f t="shared" si="63"/>
        <v>Sales</v>
      </c>
      <c r="X427" t="str">
        <f t="shared" si="64"/>
        <v>Pune</v>
      </c>
      <c r="Y427" t="str">
        <f t="shared" si="65"/>
        <v>Valid</v>
      </c>
      <c r="Z427" t="str">
        <f t="shared" si="66"/>
        <v>Valid</v>
      </c>
      <c r="AA427" t="str">
        <f t="shared" si="67"/>
        <v>Valid</v>
      </c>
      <c r="AB427" s="9" t="str">
        <f t="shared" si="68"/>
        <v>Valid</v>
      </c>
      <c r="AC427" s="9" t="str">
        <f t="shared" si="69"/>
        <v>Valid</v>
      </c>
      <c r="AD427" s="9" t="str">
        <f>IF(AND(Y427="Valid",Z427="Valid",AA427="Valid",AB427="Valid",COUNTIF($A$2:A427,A427)=1),"Include","Exclude")</f>
        <v>Include</v>
      </c>
    </row>
    <row r="428" spans="1:30" x14ac:dyDescent="0.35">
      <c r="A428" t="s">
        <v>906</v>
      </c>
      <c r="B428" t="s">
        <v>907</v>
      </c>
      <c r="C428" t="s">
        <v>31</v>
      </c>
      <c r="D428">
        <v>43</v>
      </c>
      <c r="E428" t="s">
        <v>55</v>
      </c>
      <c r="F428" t="s">
        <v>23</v>
      </c>
      <c r="G428" t="s">
        <v>24</v>
      </c>
      <c r="H428" t="s">
        <v>49</v>
      </c>
      <c r="I428">
        <v>16</v>
      </c>
      <c r="J428">
        <v>78799</v>
      </c>
      <c r="K428" t="s">
        <v>26</v>
      </c>
      <c r="L428">
        <v>5</v>
      </c>
      <c r="M428">
        <v>29</v>
      </c>
      <c r="N428">
        <v>1</v>
      </c>
      <c r="O428" t="s">
        <v>28</v>
      </c>
      <c r="P428" t="s">
        <v>27</v>
      </c>
      <c r="Q428">
        <v>5</v>
      </c>
      <c r="R428" t="s">
        <v>27</v>
      </c>
      <c r="S428" t="s">
        <v>27</v>
      </c>
      <c r="T428" t="b">
        <f t="shared" si="60"/>
        <v>0</v>
      </c>
      <c r="U428" t="str">
        <f t="shared" si="61"/>
        <v>Employee_0427</v>
      </c>
      <c r="V428" t="str">
        <f t="shared" si="62"/>
        <v>Male</v>
      </c>
      <c r="W428" t="str">
        <f t="shared" si="63"/>
        <v>Finance</v>
      </c>
      <c r="X428" t="str">
        <f t="shared" si="64"/>
        <v>Delhi</v>
      </c>
      <c r="Y428" t="str">
        <f t="shared" si="65"/>
        <v>Valid</v>
      </c>
      <c r="Z428" t="str">
        <f t="shared" si="66"/>
        <v>Valid</v>
      </c>
      <c r="AA428" t="str">
        <f t="shared" si="67"/>
        <v>Valid</v>
      </c>
      <c r="AB428" s="9" t="str">
        <f t="shared" si="68"/>
        <v>Valid</v>
      </c>
      <c r="AC428" s="9" t="str">
        <f t="shared" si="69"/>
        <v>Valid</v>
      </c>
      <c r="AD428" s="9" t="str">
        <f>IF(AND(Y428="Valid",Z428="Valid",AA428="Valid",AB428="Valid",COUNTIF($A$2:A428,A428)=1),"Include","Exclude")</f>
        <v>Include</v>
      </c>
    </row>
    <row r="429" spans="1:30" x14ac:dyDescent="0.35">
      <c r="A429" t="s">
        <v>908</v>
      </c>
      <c r="B429" t="s">
        <v>909</v>
      </c>
      <c r="C429" t="s">
        <v>21</v>
      </c>
      <c r="D429">
        <v>30</v>
      </c>
      <c r="E429" t="s">
        <v>55</v>
      </c>
      <c r="F429" t="s">
        <v>43</v>
      </c>
      <c r="G429" t="s">
        <v>24</v>
      </c>
      <c r="H429" t="s">
        <v>61</v>
      </c>
      <c r="I429">
        <v>7</v>
      </c>
      <c r="J429">
        <v>81797</v>
      </c>
      <c r="K429" t="s">
        <v>45</v>
      </c>
      <c r="L429">
        <v>10</v>
      </c>
      <c r="M429">
        <v>50</v>
      </c>
      <c r="N429">
        <v>2</v>
      </c>
      <c r="O429" t="s">
        <v>27</v>
      </c>
      <c r="P429" t="s">
        <v>27</v>
      </c>
      <c r="Q429">
        <v>2</v>
      </c>
      <c r="R429" t="s">
        <v>27</v>
      </c>
      <c r="S429" t="s">
        <v>27</v>
      </c>
      <c r="T429" t="b">
        <f t="shared" si="60"/>
        <v>0</v>
      </c>
      <c r="U429" t="str">
        <f t="shared" si="61"/>
        <v>Employee_0428</v>
      </c>
      <c r="V429" t="str">
        <f t="shared" si="62"/>
        <v>Female</v>
      </c>
      <c r="W429" t="str">
        <f t="shared" si="63"/>
        <v>It</v>
      </c>
      <c r="X429" t="str">
        <f t="shared" si="64"/>
        <v>Noida</v>
      </c>
      <c r="Y429" t="str">
        <f t="shared" si="65"/>
        <v>Valid</v>
      </c>
      <c r="Z429" t="str">
        <f t="shared" si="66"/>
        <v>Valid</v>
      </c>
      <c r="AA429" t="str">
        <f t="shared" si="67"/>
        <v>Valid</v>
      </c>
      <c r="AB429" s="9" t="str">
        <f t="shared" si="68"/>
        <v>Valid</v>
      </c>
      <c r="AC429" s="9" t="str">
        <f t="shared" si="69"/>
        <v>Valid</v>
      </c>
      <c r="AD429" s="9" t="str">
        <f>IF(AND(Y429="Valid",Z429="Valid",AA429="Valid",AB429="Valid",COUNTIF($A$2:A429,A429)=1),"Include","Exclude")</f>
        <v>Include</v>
      </c>
    </row>
    <row r="430" spans="1:30" x14ac:dyDescent="0.35">
      <c r="A430" t="s">
        <v>910</v>
      </c>
      <c r="B430" t="s">
        <v>911</v>
      </c>
      <c r="C430" t="s">
        <v>21</v>
      </c>
      <c r="D430">
        <v>37</v>
      </c>
      <c r="E430" t="s">
        <v>38</v>
      </c>
      <c r="F430" t="s">
        <v>60</v>
      </c>
      <c r="G430" t="s">
        <v>69</v>
      </c>
      <c r="H430" t="s">
        <v>131</v>
      </c>
      <c r="I430">
        <v>13</v>
      </c>
      <c r="J430">
        <v>60000</v>
      </c>
      <c r="K430" t="s">
        <v>45</v>
      </c>
      <c r="L430">
        <v>5</v>
      </c>
      <c r="M430">
        <v>16</v>
      </c>
      <c r="N430">
        <v>3</v>
      </c>
      <c r="O430" t="s">
        <v>27</v>
      </c>
      <c r="P430" t="s">
        <v>27</v>
      </c>
      <c r="Q430">
        <v>3</v>
      </c>
      <c r="R430" t="s">
        <v>27</v>
      </c>
      <c r="S430" t="s">
        <v>27</v>
      </c>
      <c r="T430" t="b">
        <f t="shared" si="60"/>
        <v>0</v>
      </c>
      <c r="U430" t="str">
        <f t="shared" si="61"/>
        <v>Employee_0429</v>
      </c>
      <c r="V430" t="str">
        <f t="shared" si="62"/>
        <v>Female</v>
      </c>
      <c r="W430" t="str">
        <f t="shared" si="63"/>
        <v>Hr</v>
      </c>
      <c r="X430" t="str">
        <f t="shared" si="64"/>
        <v>Pune</v>
      </c>
      <c r="Y430" t="str">
        <f t="shared" si="65"/>
        <v>Valid</v>
      </c>
      <c r="Z430" t="str">
        <f t="shared" si="66"/>
        <v>Valid</v>
      </c>
      <c r="AA430" t="str">
        <f t="shared" si="67"/>
        <v>Valid</v>
      </c>
      <c r="AB430" s="9" t="str">
        <f t="shared" si="68"/>
        <v>Valid</v>
      </c>
      <c r="AC430" s="9" t="str">
        <f t="shared" si="69"/>
        <v>Valid</v>
      </c>
      <c r="AD430" s="9" t="str">
        <f>IF(AND(Y430="Valid",Z430="Valid",AA430="Valid",AB430="Valid",COUNTIF($A$2:A430,A430)=1),"Include","Exclude")</f>
        <v>Include</v>
      </c>
    </row>
    <row r="431" spans="1:30" x14ac:dyDescent="0.35">
      <c r="A431" t="s">
        <v>912</v>
      </c>
      <c r="B431" t="s">
        <v>913</v>
      </c>
      <c r="C431" t="s">
        <v>31</v>
      </c>
      <c r="D431">
        <v>31</v>
      </c>
      <c r="E431" t="s">
        <v>55</v>
      </c>
      <c r="F431" t="s">
        <v>48</v>
      </c>
      <c r="G431" t="s">
        <v>24</v>
      </c>
      <c r="H431" t="s">
        <v>34</v>
      </c>
      <c r="I431">
        <v>8</v>
      </c>
      <c r="J431">
        <v>43195</v>
      </c>
      <c r="K431" t="s">
        <v>45</v>
      </c>
      <c r="L431">
        <v>4</v>
      </c>
      <c r="M431">
        <v>46</v>
      </c>
      <c r="N431">
        <v>3</v>
      </c>
      <c r="O431" t="s">
        <v>28</v>
      </c>
      <c r="P431" t="s">
        <v>28</v>
      </c>
      <c r="Q431">
        <v>5</v>
      </c>
      <c r="R431" t="s">
        <v>27</v>
      </c>
      <c r="S431" t="s">
        <v>27</v>
      </c>
      <c r="T431" t="b">
        <f t="shared" si="60"/>
        <v>0</v>
      </c>
      <c r="U431" t="str">
        <f t="shared" si="61"/>
        <v>Employee_0430</v>
      </c>
      <c r="V431" t="str">
        <f t="shared" si="62"/>
        <v>Male</v>
      </c>
      <c r="W431" t="str">
        <f t="shared" si="63"/>
        <v>Customer Support</v>
      </c>
      <c r="X431" t="str">
        <f t="shared" si="64"/>
        <v>Gurgaon</v>
      </c>
      <c r="Y431" t="str">
        <f t="shared" si="65"/>
        <v>Valid</v>
      </c>
      <c r="Z431" t="str">
        <f t="shared" si="66"/>
        <v>Valid</v>
      </c>
      <c r="AA431" t="str">
        <f t="shared" si="67"/>
        <v>Valid</v>
      </c>
      <c r="AB431" s="9" t="str">
        <f t="shared" si="68"/>
        <v>Valid</v>
      </c>
      <c r="AC431" s="9" t="str">
        <f t="shared" si="69"/>
        <v>Valid</v>
      </c>
      <c r="AD431" s="9" t="str">
        <f>IF(AND(Y431="Valid",Z431="Valid",AA431="Valid",AB431="Valid",COUNTIF($A$2:A431,A431)=1),"Include","Exclude")</f>
        <v>Include</v>
      </c>
    </row>
    <row r="432" spans="1:30" x14ac:dyDescent="0.35">
      <c r="A432" t="s">
        <v>914</v>
      </c>
      <c r="B432" t="s">
        <v>915</v>
      </c>
      <c r="C432" t="s">
        <v>21</v>
      </c>
      <c r="D432">
        <v>25</v>
      </c>
      <c r="E432" t="s">
        <v>55</v>
      </c>
      <c r="F432" t="s">
        <v>64</v>
      </c>
      <c r="G432" t="s">
        <v>24</v>
      </c>
      <c r="H432" t="s">
        <v>61</v>
      </c>
      <c r="I432">
        <v>3</v>
      </c>
      <c r="J432">
        <v>66306</v>
      </c>
      <c r="K432" t="s">
        <v>45</v>
      </c>
      <c r="L432">
        <v>7</v>
      </c>
      <c r="M432">
        <v>10</v>
      </c>
      <c r="N432">
        <v>4</v>
      </c>
      <c r="O432" t="s">
        <v>27</v>
      </c>
      <c r="P432" t="s">
        <v>28</v>
      </c>
      <c r="Q432">
        <v>3</v>
      </c>
      <c r="R432" t="s">
        <v>27</v>
      </c>
      <c r="S432" t="s">
        <v>27</v>
      </c>
      <c r="T432" t="b">
        <f t="shared" si="60"/>
        <v>0</v>
      </c>
      <c r="U432" t="str">
        <f t="shared" si="61"/>
        <v>Employee_0431</v>
      </c>
      <c r="V432" t="str">
        <f t="shared" si="62"/>
        <v>Female</v>
      </c>
      <c r="W432" t="str">
        <f t="shared" si="63"/>
        <v>Marketing</v>
      </c>
      <c r="X432" t="str">
        <f t="shared" si="64"/>
        <v>Noida</v>
      </c>
      <c r="Y432" t="str">
        <f t="shared" si="65"/>
        <v>Valid</v>
      </c>
      <c r="Z432" t="str">
        <f t="shared" si="66"/>
        <v>Valid</v>
      </c>
      <c r="AA432" t="str">
        <f t="shared" si="67"/>
        <v>Valid</v>
      </c>
      <c r="AB432" s="9" t="str">
        <f t="shared" si="68"/>
        <v>Valid</v>
      </c>
      <c r="AC432" s="9" t="str">
        <f t="shared" si="69"/>
        <v>Valid</v>
      </c>
      <c r="AD432" s="9" t="str">
        <f>IF(AND(Y432="Valid",Z432="Valid",AA432="Valid",AB432="Valid",COUNTIF($A$2:A432,A432)=1),"Include","Exclude")</f>
        <v>Include</v>
      </c>
    </row>
    <row r="433" spans="1:30" x14ac:dyDescent="0.35">
      <c r="A433" t="s">
        <v>916</v>
      </c>
      <c r="B433" t="s">
        <v>917</v>
      </c>
      <c r="C433" t="s">
        <v>31</v>
      </c>
      <c r="D433">
        <v>55</v>
      </c>
      <c r="E433" t="s">
        <v>38</v>
      </c>
      <c r="F433" t="s">
        <v>64</v>
      </c>
      <c r="G433" t="s">
        <v>24</v>
      </c>
      <c r="H433" t="s">
        <v>131</v>
      </c>
      <c r="I433">
        <v>12</v>
      </c>
      <c r="J433">
        <v>58240</v>
      </c>
      <c r="K433" t="s">
        <v>26</v>
      </c>
      <c r="L433">
        <v>8</v>
      </c>
      <c r="M433">
        <v>19</v>
      </c>
      <c r="N433">
        <v>4</v>
      </c>
      <c r="O433" t="s">
        <v>28</v>
      </c>
      <c r="P433" t="s">
        <v>27</v>
      </c>
      <c r="Q433">
        <v>3</v>
      </c>
      <c r="R433" t="s">
        <v>28</v>
      </c>
      <c r="S433" t="s">
        <v>27</v>
      </c>
      <c r="T433" t="b">
        <f t="shared" si="60"/>
        <v>0</v>
      </c>
      <c r="U433" t="str">
        <f t="shared" si="61"/>
        <v>Employee_0432</v>
      </c>
      <c r="V433" t="str">
        <f t="shared" si="62"/>
        <v>Male</v>
      </c>
      <c r="W433" t="str">
        <f t="shared" si="63"/>
        <v>Marketing</v>
      </c>
      <c r="X433" t="str">
        <f t="shared" si="64"/>
        <v>Pune</v>
      </c>
      <c r="Y433" t="str">
        <f t="shared" si="65"/>
        <v>Valid</v>
      </c>
      <c r="Z433" t="str">
        <f t="shared" si="66"/>
        <v>Valid</v>
      </c>
      <c r="AA433" t="str">
        <f t="shared" si="67"/>
        <v>Valid</v>
      </c>
      <c r="AB433" s="9" t="str">
        <f t="shared" si="68"/>
        <v>Valid</v>
      </c>
      <c r="AC433" s="9" t="str">
        <f t="shared" si="69"/>
        <v>Valid</v>
      </c>
      <c r="AD433" s="9" t="str">
        <f>IF(AND(Y433="Valid",Z433="Valid",AA433="Valid",AB433="Valid",COUNTIF($A$2:A433,A433)=1),"Include","Exclude")</f>
        <v>Include</v>
      </c>
    </row>
    <row r="434" spans="1:30" x14ac:dyDescent="0.35">
      <c r="A434" t="s">
        <v>918</v>
      </c>
      <c r="B434" t="s">
        <v>919</v>
      </c>
      <c r="C434" t="s">
        <v>31</v>
      </c>
      <c r="D434">
        <v>33</v>
      </c>
      <c r="E434" t="s">
        <v>32</v>
      </c>
      <c r="F434" t="s">
        <v>43</v>
      </c>
      <c r="G434" t="s">
        <v>24</v>
      </c>
      <c r="H434" t="s">
        <v>131</v>
      </c>
      <c r="I434">
        <v>9</v>
      </c>
      <c r="J434">
        <v>69929</v>
      </c>
      <c r="K434" t="s">
        <v>45</v>
      </c>
      <c r="L434">
        <v>9</v>
      </c>
      <c r="M434">
        <v>28</v>
      </c>
      <c r="N434">
        <v>3</v>
      </c>
      <c r="O434" t="s">
        <v>27</v>
      </c>
      <c r="P434" t="s">
        <v>28</v>
      </c>
      <c r="Q434">
        <v>5</v>
      </c>
      <c r="R434" t="s">
        <v>28</v>
      </c>
      <c r="S434" t="s">
        <v>27</v>
      </c>
      <c r="T434" t="b">
        <f t="shared" si="60"/>
        <v>0</v>
      </c>
      <c r="U434" t="str">
        <f t="shared" si="61"/>
        <v>Employee_0433</v>
      </c>
      <c r="V434" t="str">
        <f t="shared" si="62"/>
        <v>Male</v>
      </c>
      <c r="W434" t="str">
        <f t="shared" si="63"/>
        <v>It</v>
      </c>
      <c r="X434" t="str">
        <f t="shared" si="64"/>
        <v>Pune</v>
      </c>
      <c r="Y434" t="str">
        <f t="shared" si="65"/>
        <v>Valid</v>
      </c>
      <c r="Z434" t="str">
        <f t="shared" si="66"/>
        <v>Valid</v>
      </c>
      <c r="AA434" t="str">
        <f t="shared" si="67"/>
        <v>Valid</v>
      </c>
      <c r="AB434" s="9" t="str">
        <f t="shared" si="68"/>
        <v>Valid</v>
      </c>
      <c r="AC434" s="9" t="str">
        <f t="shared" si="69"/>
        <v>Valid</v>
      </c>
      <c r="AD434" s="9" t="str">
        <f>IF(AND(Y434="Valid",Z434="Valid",AA434="Valid",AB434="Valid",COUNTIF($A$2:A434,A434)=1),"Include","Exclude")</f>
        <v>Include</v>
      </c>
    </row>
    <row r="435" spans="1:30" x14ac:dyDescent="0.35">
      <c r="A435" t="s">
        <v>920</v>
      </c>
      <c r="B435" t="s">
        <v>921</v>
      </c>
      <c r="C435" t="s">
        <v>31</v>
      </c>
      <c r="D435">
        <v>29</v>
      </c>
      <c r="E435" t="s">
        <v>38</v>
      </c>
      <c r="F435" t="s">
        <v>23</v>
      </c>
      <c r="G435" t="s">
        <v>24</v>
      </c>
      <c r="H435" t="s">
        <v>70</v>
      </c>
      <c r="I435">
        <v>6</v>
      </c>
      <c r="J435">
        <v>72115</v>
      </c>
      <c r="K435" t="s">
        <v>35</v>
      </c>
      <c r="L435">
        <v>5</v>
      </c>
      <c r="M435">
        <v>46</v>
      </c>
      <c r="N435">
        <v>6</v>
      </c>
      <c r="O435" t="s">
        <v>27</v>
      </c>
      <c r="P435" t="s">
        <v>28</v>
      </c>
      <c r="Q435">
        <v>5</v>
      </c>
      <c r="R435" t="s">
        <v>27</v>
      </c>
      <c r="S435" t="s">
        <v>27</v>
      </c>
      <c r="T435" t="b">
        <f t="shared" si="60"/>
        <v>0</v>
      </c>
      <c r="U435" t="str">
        <f t="shared" si="61"/>
        <v>Employee_0434</v>
      </c>
      <c r="V435" t="str">
        <f t="shared" si="62"/>
        <v>Male</v>
      </c>
      <c r="W435" t="str">
        <f t="shared" si="63"/>
        <v>Finance</v>
      </c>
      <c r="X435" t="str">
        <f t="shared" si="64"/>
        <v>Bangalore</v>
      </c>
      <c r="Y435" t="str">
        <f t="shared" si="65"/>
        <v>Valid</v>
      </c>
      <c r="Z435" t="str">
        <f t="shared" si="66"/>
        <v>Valid</v>
      </c>
      <c r="AA435" t="str">
        <f t="shared" si="67"/>
        <v>Valid</v>
      </c>
      <c r="AB435" s="9" t="str">
        <f t="shared" si="68"/>
        <v>Valid</v>
      </c>
      <c r="AC435" s="9" t="str">
        <f t="shared" si="69"/>
        <v>Valid</v>
      </c>
      <c r="AD435" s="9" t="str">
        <f>IF(AND(Y435="Valid",Z435="Valid",AA435="Valid",AB435="Valid",COUNTIF($A$2:A435,A435)=1),"Include","Exclude")</f>
        <v>Include</v>
      </c>
    </row>
    <row r="436" spans="1:30" x14ac:dyDescent="0.35">
      <c r="A436" t="s">
        <v>922</v>
      </c>
      <c r="B436" t="s">
        <v>923</v>
      </c>
      <c r="C436" t="s">
        <v>21</v>
      </c>
      <c r="D436">
        <v>30</v>
      </c>
      <c r="E436" t="s">
        <v>55</v>
      </c>
      <c r="F436" t="s">
        <v>43</v>
      </c>
      <c r="G436" t="s">
        <v>69</v>
      </c>
      <c r="H436" t="s">
        <v>25</v>
      </c>
      <c r="I436">
        <v>4</v>
      </c>
      <c r="J436">
        <v>57314</v>
      </c>
      <c r="K436" t="s">
        <v>26</v>
      </c>
      <c r="L436">
        <v>2</v>
      </c>
      <c r="M436">
        <v>24</v>
      </c>
      <c r="N436">
        <v>5</v>
      </c>
      <c r="O436" t="s">
        <v>27</v>
      </c>
      <c r="P436" t="s">
        <v>28</v>
      </c>
      <c r="Q436">
        <v>1</v>
      </c>
      <c r="R436" t="s">
        <v>28</v>
      </c>
      <c r="S436" t="s">
        <v>28</v>
      </c>
      <c r="T436" t="b">
        <f t="shared" si="60"/>
        <v>0</v>
      </c>
      <c r="U436" t="str">
        <f t="shared" si="61"/>
        <v>Employee_0435</v>
      </c>
      <c r="V436" t="str">
        <f t="shared" si="62"/>
        <v>Female</v>
      </c>
      <c r="W436" t="str">
        <f t="shared" si="63"/>
        <v>It</v>
      </c>
      <c r="X436" t="str">
        <f t="shared" si="64"/>
        <v>Hyderabad</v>
      </c>
      <c r="Y436" t="str">
        <f t="shared" si="65"/>
        <v>Valid</v>
      </c>
      <c r="Z436" t="str">
        <f t="shared" si="66"/>
        <v>Valid</v>
      </c>
      <c r="AA436" t="str">
        <f t="shared" si="67"/>
        <v>Valid</v>
      </c>
      <c r="AB436" s="9" t="str">
        <f t="shared" si="68"/>
        <v>Valid</v>
      </c>
      <c r="AC436" s="9" t="str">
        <f t="shared" si="69"/>
        <v>Valid</v>
      </c>
      <c r="AD436" s="9" t="str">
        <f>IF(AND(Y436="Valid",Z436="Valid",AA436="Valid",AB436="Valid",COUNTIF($A$2:A436,A436)=1),"Include","Exclude")</f>
        <v>Include</v>
      </c>
    </row>
    <row r="437" spans="1:30" x14ac:dyDescent="0.35">
      <c r="A437" t="s">
        <v>924</v>
      </c>
      <c r="B437" t="s">
        <v>925</v>
      </c>
      <c r="C437" t="s">
        <v>21</v>
      </c>
      <c r="D437">
        <v>55</v>
      </c>
      <c r="E437" t="s">
        <v>38</v>
      </c>
      <c r="F437" t="s">
        <v>48</v>
      </c>
      <c r="G437" t="s">
        <v>24</v>
      </c>
      <c r="H437" t="s">
        <v>25</v>
      </c>
      <c r="I437">
        <v>17</v>
      </c>
      <c r="J437">
        <v>54638</v>
      </c>
      <c r="K437" t="s">
        <v>45</v>
      </c>
      <c r="L437">
        <v>1</v>
      </c>
      <c r="M437">
        <v>14</v>
      </c>
      <c r="N437">
        <v>1</v>
      </c>
      <c r="O437" t="s">
        <v>28</v>
      </c>
      <c r="P437" t="s">
        <v>27</v>
      </c>
      <c r="Q437">
        <v>1</v>
      </c>
      <c r="R437" t="s">
        <v>28</v>
      </c>
      <c r="S437" t="s">
        <v>27</v>
      </c>
      <c r="T437" t="b">
        <f t="shared" si="60"/>
        <v>0</v>
      </c>
      <c r="U437" t="str">
        <f t="shared" si="61"/>
        <v>Employee_0436</v>
      </c>
      <c r="V437" t="str">
        <f t="shared" si="62"/>
        <v>Female</v>
      </c>
      <c r="W437" t="str">
        <f t="shared" si="63"/>
        <v>Customer Support</v>
      </c>
      <c r="X437" t="str">
        <f t="shared" si="64"/>
        <v>Hyderabad</v>
      </c>
      <c r="Y437" t="str">
        <f t="shared" si="65"/>
        <v>Valid</v>
      </c>
      <c r="Z437" t="str">
        <f t="shared" si="66"/>
        <v>Valid</v>
      </c>
      <c r="AA437" t="str">
        <f t="shared" si="67"/>
        <v>Valid</v>
      </c>
      <c r="AB437" s="9" t="str">
        <f t="shared" si="68"/>
        <v>Valid</v>
      </c>
      <c r="AC437" s="9" t="str">
        <f t="shared" si="69"/>
        <v>Valid</v>
      </c>
      <c r="AD437" s="9" t="str">
        <f>IF(AND(Y437="Valid",Z437="Valid",AA437="Valid",AB437="Valid",COUNTIF($A$2:A437,A437)=1),"Include","Exclude")</f>
        <v>Include</v>
      </c>
    </row>
    <row r="438" spans="1:30" x14ac:dyDescent="0.35">
      <c r="A438" t="s">
        <v>926</v>
      </c>
      <c r="B438" t="s">
        <v>927</v>
      </c>
      <c r="C438" t="s">
        <v>31</v>
      </c>
      <c r="D438">
        <v>22</v>
      </c>
      <c r="E438" t="s">
        <v>55</v>
      </c>
      <c r="F438" t="s">
        <v>64</v>
      </c>
      <c r="G438" t="s">
        <v>24</v>
      </c>
      <c r="H438" t="s">
        <v>34</v>
      </c>
      <c r="I438">
        <v>0</v>
      </c>
      <c r="J438">
        <v>63752</v>
      </c>
      <c r="K438" t="s">
        <v>26</v>
      </c>
      <c r="L438">
        <v>10</v>
      </c>
      <c r="M438">
        <v>44</v>
      </c>
      <c r="N438">
        <v>0</v>
      </c>
      <c r="O438" t="s">
        <v>27</v>
      </c>
      <c r="P438" t="s">
        <v>28</v>
      </c>
      <c r="Q438">
        <v>1</v>
      </c>
      <c r="R438" t="s">
        <v>27</v>
      </c>
      <c r="S438" t="s">
        <v>27</v>
      </c>
      <c r="T438" t="b">
        <f t="shared" si="60"/>
        <v>0</v>
      </c>
      <c r="U438" t="str">
        <f t="shared" si="61"/>
        <v>Employee_0437</v>
      </c>
      <c r="V438" t="str">
        <f t="shared" si="62"/>
        <v>Male</v>
      </c>
      <c r="W438" t="str">
        <f t="shared" si="63"/>
        <v>Marketing</v>
      </c>
      <c r="X438" t="str">
        <f t="shared" si="64"/>
        <v>Gurgaon</v>
      </c>
      <c r="Y438" t="str">
        <f t="shared" si="65"/>
        <v>Valid</v>
      </c>
      <c r="Z438" t="str">
        <f t="shared" si="66"/>
        <v>Valid</v>
      </c>
      <c r="AA438" t="str">
        <f t="shared" si="67"/>
        <v>Valid</v>
      </c>
      <c r="AB438" s="9" t="str">
        <f t="shared" si="68"/>
        <v>Valid</v>
      </c>
      <c r="AC438" s="9" t="str">
        <f t="shared" si="69"/>
        <v>Valid</v>
      </c>
      <c r="AD438" s="9" t="str">
        <f>IF(AND(Y438="Valid",Z438="Valid",AA438="Valid",AB438="Valid",COUNTIF($A$2:A438,A438)=1),"Include","Exclude")</f>
        <v>Include</v>
      </c>
    </row>
    <row r="439" spans="1:30" x14ac:dyDescent="0.35">
      <c r="A439" t="s">
        <v>928</v>
      </c>
      <c r="B439" t="s">
        <v>929</v>
      </c>
      <c r="C439" t="s">
        <v>31</v>
      </c>
      <c r="D439">
        <v>32</v>
      </c>
      <c r="E439" t="s">
        <v>38</v>
      </c>
      <c r="F439" t="s">
        <v>33</v>
      </c>
      <c r="G439" t="s">
        <v>24</v>
      </c>
      <c r="H439" t="s">
        <v>34</v>
      </c>
      <c r="I439">
        <v>4</v>
      </c>
      <c r="J439">
        <v>60621</v>
      </c>
      <c r="K439" t="s">
        <v>35</v>
      </c>
      <c r="L439">
        <v>7</v>
      </c>
      <c r="M439">
        <v>25</v>
      </c>
      <c r="N439">
        <v>4</v>
      </c>
      <c r="O439" t="s">
        <v>27</v>
      </c>
      <c r="P439" t="s">
        <v>28</v>
      </c>
      <c r="Q439">
        <v>2</v>
      </c>
      <c r="R439" t="s">
        <v>27</v>
      </c>
      <c r="S439" t="s">
        <v>27</v>
      </c>
      <c r="T439" t="b">
        <f t="shared" si="60"/>
        <v>0</v>
      </c>
      <c r="U439" t="str">
        <f t="shared" si="61"/>
        <v>Employee_0438</v>
      </c>
      <c r="V439" t="str">
        <f t="shared" si="62"/>
        <v>Male</v>
      </c>
      <c r="W439" t="str">
        <f t="shared" si="63"/>
        <v>Sales</v>
      </c>
      <c r="X439" t="str">
        <f t="shared" si="64"/>
        <v>Gurgaon</v>
      </c>
      <c r="Y439" t="str">
        <f t="shared" si="65"/>
        <v>Valid</v>
      </c>
      <c r="Z439" t="str">
        <f t="shared" si="66"/>
        <v>Valid</v>
      </c>
      <c r="AA439" t="str">
        <f t="shared" si="67"/>
        <v>Valid</v>
      </c>
      <c r="AB439" s="9" t="str">
        <f t="shared" si="68"/>
        <v>Valid</v>
      </c>
      <c r="AC439" s="9" t="str">
        <f t="shared" si="69"/>
        <v>Valid</v>
      </c>
      <c r="AD439" s="9" t="str">
        <f>IF(AND(Y439="Valid",Z439="Valid",AA439="Valid",AB439="Valid",COUNTIF($A$2:A439,A439)=1),"Include","Exclude")</f>
        <v>Include</v>
      </c>
    </row>
    <row r="440" spans="1:30" x14ac:dyDescent="0.35">
      <c r="A440" t="s">
        <v>930</v>
      </c>
      <c r="B440" t="s">
        <v>931</v>
      </c>
      <c r="C440" t="s">
        <v>31</v>
      </c>
      <c r="D440">
        <v>28</v>
      </c>
      <c r="E440" t="s">
        <v>22</v>
      </c>
      <c r="F440" t="s">
        <v>33</v>
      </c>
      <c r="G440" t="s">
        <v>24</v>
      </c>
      <c r="H440" t="s">
        <v>52</v>
      </c>
      <c r="I440">
        <v>4</v>
      </c>
      <c r="J440">
        <v>57588</v>
      </c>
      <c r="K440" t="s">
        <v>26</v>
      </c>
      <c r="L440">
        <v>10</v>
      </c>
      <c r="M440">
        <v>54</v>
      </c>
      <c r="N440">
        <v>3</v>
      </c>
      <c r="O440" t="s">
        <v>28</v>
      </c>
      <c r="P440" t="s">
        <v>28</v>
      </c>
      <c r="Q440">
        <v>1</v>
      </c>
      <c r="R440" t="s">
        <v>27</v>
      </c>
      <c r="S440" t="s">
        <v>27</v>
      </c>
      <c r="T440" t="b">
        <f t="shared" si="60"/>
        <v>0</v>
      </c>
      <c r="U440" t="str">
        <f t="shared" si="61"/>
        <v>Employee_0439</v>
      </c>
      <c r="V440" t="str">
        <f t="shared" si="62"/>
        <v>Male</v>
      </c>
      <c r="W440" t="str">
        <f t="shared" si="63"/>
        <v>Sales</v>
      </c>
      <c r="X440" t="str">
        <f t="shared" si="64"/>
        <v>Mumbai</v>
      </c>
      <c r="Y440" t="str">
        <f t="shared" si="65"/>
        <v>Valid</v>
      </c>
      <c r="Z440" t="str">
        <f t="shared" si="66"/>
        <v>Valid</v>
      </c>
      <c r="AA440" t="str">
        <f t="shared" si="67"/>
        <v>Valid</v>
      </c>
      <c r="AB440" s="9" t="str">
        <f t="shared" si="68"/>
        <v>Valid</v>
      </c>
      <c r="AC440" s="9" t="str">
        <f t="shared" si="69"/>
        <v>Valid</v>
      </c>
      <c r="AD440" s="9" t="str">
        <f>IF(AND(Y440="Valid",Z440="Valid",AA440="Valid",AB440="Valid",COUNTIF($A$2:A440,A440)=1),"Include","Exclude")</f>
        <v>Include</v>
      </c>
    </row>
    <row r="441" spans="1:30" x14ac:dyDescent="0.35">
      <c r="A441" t="s">
        <v>932</v>
      </c>
      <c r="B441" t="s">
        <v>933</v>
      </c>
      <c r="C441" t="s">
        <v>21</v>
      </c>
      <c r="D441">
        <v>23</v>
      </c>
      <c r="E441" t="s">
        <v>55</v>
      </c>
      <c r="F441" t="s">
        <v>33</v>
      </c>
      <c r="G441" t="s">
        <v>24</v>
      </c>
      <c r="H441" t="s">
        <v>131</v>
      </c>
      <c r="I441">
        <v>2</v>
      </c>
      <c r="J441">
        <v>62394</v>
      </c>
      <c r="K441" t="s">
        <v>40</v>
      </c>
      <c r="L441">
        <v>10</v>
      </c>
      <c r="M441">
        <v>44</v>
      </c>
      <c r="N441">
        <v>2</v>
      </c>
      <c r="O441" t="s">
        <v>27</v>
      </c>
      <c r="P441" t="s">
        <v>27</v>
      </c>
      <c r="Q441">
        <v>3</v>
      </c>
      <c r="R441" t="s">
        <v>27</v>
      </c>
      <c r="S441" t="s">
        <v>27</v>
      </c>
      <c r="T441" t="b">
        <f t="shared" si="60"/>
        <v>0</v>
      </c>
      <c r="U441" t="str">
        <f t="shared" si="61"/>
        <v>Employee_0440</v>
      </c>
      <c r="V441" t="str">
        <f t="shared" si="62"/>
        <v>Female</v>
      </c>
      <c r="W441" t="str">
        <f t="shared" si="63"/>
        <v>Sales</v>
      </c>
      <c r="X441" t="str">
        <f t="shared" si="64"/>
        <v>Pune</v>
      </c>
      <c r="Y441" t="str">
        <f t="shared" si="65"/>
        <v>Valid</v>
      </c>
      <c r="Z441" t="str">
        <f t="shared" si="66"/>
        <v>Valid</v>
      </c>
      <c r="AA441" t="str">
        <f t="shared" si="67"/>
        <v>Valid</v>
      </c>
      <c r="AB441" s="9" t="str">
        <f t="shared" si="68"/>
        <v>Valid</v>
      </c>
      <c r="AC441" s="9" t="str">
        <f t="shared" si="69"/>
        <v>Valid</v>
      </c>
      <c r="AD441" s="9" t="str">
        <f>IF(AND(Y441="Valid",Z441="Valid",AA441="Valid",AB441="Valid",COUNTIF($A$2:A441,A441)=1),"Include","Exclude")</f>
        <v>Include</v>
      </c>
    </row>
    <row r="442" spans="1:30" x14ac:dyDescent="0.35">
      <c r="A442" t="s">
        <v>934</v>
      </c>
      <c r="B442" t="s">
        <v>935</v>
      </c>
      <c r="C442" t="s">
        <v>31</v>
      </c>
      <c r="D442">
        <v>26</v>
      </c>
      <c r="E442" t="s">
        <v>55</v>
      </c>
      <c r="F442" t="s">
        <v>23</v>
      </c>
      <c r="G442" t="s">
        <v>24</v>
      </c>
      <c r="H442" t="s">
        <v>52</v>
      </c>
      <c r="I442">
        <v>2</v>
      </c>
      <c r="J442">
        <v>61445</v>
      </c>
      <c r="K442" t="s">
        <v>35</v>
      </c>
      <c r="L442">
        <v>3</v>
      </c>
      <c r="M442">
        <v>0</v>
      </c>
      <c r="N442">
        <v>3</v>
      </c>
      <c r="O442" t="s">
        <v>27</v>
      </c>
      <c r="P442" t="s">
        <v>28</v>
      </c>
      <c r="Q442">
        <v>4</v>
      </c>
      <c r="R442" t="s">
        <v>27</v>
      </c>
      <c r="S442" t="s">
        <v>27</v>
      </c>
      <c r="T442" t="b">
        <f t="shared" si="60"/>
        <v>0</v>
      </c>
      <c r="U442" t="str">
        <f t="shared" si="61"/>
        <v>Employee_0441</v>
      </c>
      <c r="V442" t="str">
        <f t="shared" si="62"/>
        <v>Male</v>
      </c>
      <c r="W442" t="str">
        <f t="shared" si="63"/>
        <v>Finance</v>
      </c>
      <c r="X442" t="str">
        <f t="shared" si="64"/>
        <v>Mumbai</v>
      </c>
      <c r="Y442" t="str">
        <f t="shared" si="65"/>
        <v>Valid</v>
      </c>
      <c r="Z442" t="str">
        <f t="shared" si="66"/>
        <v>Valid</v>
      </c>
      <c r="AA442" t="str">
        <f t="shared" si="67"/>
        <v>Valid</v>
      </c>
      <c r="AB442" s="9" t="str">
        <f t="shared" si="68"/>
        <v>Valid</v>
      </c>
      <c r="AC442" s="9" t="str">
        <f t="shared" si="69"/>
        <v>Valid</v>
      </c>
      <c r="AD442" s="9" t="str">
        <f>IF(AND(Y442="Valid",Z442="Valid",AA442="Valid",AB442="Valid",COUNTIF($A$2:A442,A442)=1),"Include","Exclude")</f>
        <v>Include</v>
      </c>
    </row>
    <row r="443" spans="1:30" x14ac:dyDescent="0.35">
      <c r="A443" t="s">
        <v>936</v>
      </c>
      <c r="B443" t="s">
        <v>937</v>
      </c>
      <c r="C443" t="s">
        <v>21</v>
      </c>
      <c r="D443">
        <v>30</v>
      </c>
      <c r="E443" t="s">
        <v>38</v>
      </c>
      <c r="F443" t="s">
        <v>48</v>
      </c>
      <c r="G443" t="s">
        <v>24</v>
      </c>
      <c r="H443" t="s">
        <v>52</v>
      </c>
      <c r="I443">
        <v>7</v>
      </c>
      <c r="J443">
        <v>50978</v>
      </c>
      <c r="K443" t="s">
        <v>45</v>
      </c>
      <c r="L443">
        <v>5</v>
      </c>
      <c r="M443">
        <v>31</v>
      </c>
      <c r="N443">
        <v>5</v>
      </c>
      <c r="O443" t="s">
        <v>27</v>
      </c>
      <c r="P443" t="s">
        <v>28</v>
      </c>
      <c r="Q443">
        <v>1</v>
      </c>
      <c r="R443" t="s">
        <v>27</v>
      </c>
      <c r="S443" t="s">
        <v>27</v>
      </c>
      <c r="T443" t="b">
        <f t="shared" si="60"/>
        <v>0</v>
      </c>
      <c r="U443" t="str">
        <f t="shared" si="61"/>
        <v>Employee_0442</v>
      </c>
      <c r="V443" t="str">
        <f t="shared" si="62"/>
        <v>Female</v>
      </c>
      <c r="W443" t="str">
        <f t="shared" si="63"/>
        <v>Customer Support</v>
      </c>
      <c r="X443" t="str">
        <f t="shared" si="64"/>
        <v>Mumbai</v>
      </c>
      <c r="Y443" t="str">
        <f t="shared" si="65"/>
        <v>Valid</v>
      </c>
      <c r="Z443" t="str">
        <f t="shared" si="66"/>
        <v>Valid</v>
      </c>
      <c r="AA443" t="str">
        <f t="shared" si="67"/>
        <v>Valid</v>
      </c>
      <c r="AB443" s="9" t="str">
        <f t="shared" si="68"/>
        <v>Valid</v>
      </c>
      <c r="AC443" s="9" t="str">
        <f t="shared" si="69"/>
        <v>Valid</v>
      </c>
      <c r="AD443" s="9" t="str">
        <f>IF(AND(Y443="Valid",Z443="Valid",AA443="Valid",AB443="Valid",COUNTIF($A$2:A443,A443)=1),"Include","Exclude")</f>
        <v>Include</v>
      </c>
    </row>
    <row r="444" spans="1:30" x14ac:dyDescent="0.35">
      <c r="A444" t="s">
        <v>938</v>
      </c>
      <c r="B444" t="s">
        <v>939</v>
      </c>
      <c r="C444" t="s">
        <v>31</v>
      </c>
      <c r="D444">
        <v>36</v>
      </c>
      <c r="E444" t="s">
        <v>55</v>
      </c>
      <c r="F444" t="s">
        <v>23</v>
      </c>
      <c r="G444" t="s">
        <v>44</v>
      </c>
      <c r="H444" t="s">
        <v>25</v>
      </c>
      <c r="I444">
        <v>10</v>
      </c>
      <c r="J444">
        <v>71490</v>
      </c>
      <c r="K444" t="s">
        <v>35</v>
      </c>
      <c r="L444">
        <v>5</v>
      </c>
      <c r="M444">
        <v>31</v>
      </c>
      <c r="N444">
        <v>1</v>
      </c>
      <c r="O444" t="s">
        <v>27</v>
      </c>
      <c r="P444" t="s">
        <v>27</v>
      </c>
      <c r="Q444">
        <v>4</v>
      </c>
      <c r="R444" t="s">
        <v>28</v>
      </c>
      <c r="S444" t="s">
        <v>27</v>
      </c>
      <c r="T444" t="b">
        <f t="shared" si="60"/>
        <v>0</v>
      </c>
      <c r="U444" t="str">
        <f t="shared" si="61"/>
        <v>Employee_0443</v>
      </c>
      <c r="V444" t="str">
        <f t="shared" si="62"/>
        <v>Male</v>
      </c>
      <c r="W444" t="str">
        <f t="shared" si="63"/>
        <v>Finance</v>
      </c>
      <c r="X444" t="str">
        <f t="shared" si="64"/>
        <v>Hyderabad</v>
      </c>
      <c r="Y444" t="str">
        <f t="shared" si="65"/>
        <v>Valid</v>
      </c>
      <c r="Z444" t="str">
        <f t="shared" si="66"/>
        <v>Valid</v>
      </c>
      <c r="AA444" t="str">
        <f t="shared" si="67"/>
        <v>Valid</v>
      </c>
      <c r="AB444" s="9" t="str">
        <f t="shared" si="68"/>
        <v>Valid</v>
      </c>
      <c r="AC444" s="9" t="str">
        <f t="shared" si="69"/>
        <v>Valid</v>
      </c>
      <c r="AD444" s="9" t="str">
        <f>IF(AND(Y444="Valid",Z444="Valid",AA444="Valid",AB444="Valid",COUNTIF($A$2:A444,A444)=1),"Include","Exclude")</f>
        <v>Include</v>
      </c>
    </row>
    <row r="445" spans="1:30" x14ac:dyDescent="0.35">
      <c r="A445" t="s">
        <v>940</v>
      </c>
      <c r="B445" t="s">
        <v>941</v>
      </c>
      <c r="C445" t="s">
        <v>31</v>
      </c>
      <c r="D445">
        <v>21</v>
      </c>
      <c r="E445" t="s">
        <v>38</v>
      </c>
      <c r="F445" t="s">
        <v>64</v>
      </c>
      <c r="G445" t="s">
        <v>24</v>
      </c>
      <c r="H445" t="s">
        <v>49</v>
      </c>
      <c r="I445">
        <v>0</v>
      </c>
      <c r="J445">
        <v>55261</v>
      </c>
      <c r="K445" t="s">
        <v>26</v>
      </c>
      <c r="L445">
        <v>6</v>
      </c>
      <c r="M445">
        <v>31</v>
      </c>
      <c r="N445">
        <v>6</v>
      </c>
      <c r="O445" t="s">
        <v>27</v>
      </c>
      <c r="P445" t="s">
        <v>28</v>
      </c>
      <c r="Q445">
        <v>2</v>
      </c>
      <c r="R445" t="s">
        <v>27</v>
      </c>
      <c r="S445" t="s">
        <v>27</v>
      </c>
      <c r="T445" t="b">
        <f t="shared" si="60"/>
        <v>0</v>
      </c>
      <c r="U445" t="str">
        <f t="shared" si="61"/>
        <v>Employee_0444</v>
      </c>
      <c r="V445" t="str">
        <f t="shared" si="62"/>
        <v>Male</v>
      </c>
      <c r="W445" t="str">
        <f t="shared" si="63"/>
        <v>Marketing</v>
      </c>
      <c r="X445" t="str">
        <f t="shared" si="64"/>
        <v>Delhi</v>
      </c>
      <c r="Y445" t="str">
        <f t="shared" si="65"/>
        <v>Valid</v>
      </c>
      <c r="Z445" t="str">
        <f t="shared" si="66"/>
        <v>Valid</v>
      </c>
      <c r="AA445" t="str">
        <f t="shared" si="67"/>
        <v>Valid</v>
      </c>
      <c r="AB445" s="9" t="str">
        <f t="shared" si="68"/>
        <v>Valid</v>
      </c>
      <c r="AC445" s="9" t="str">
        <f t="shared" si="69"/>
        <v>Valid</v>
      </c>
      <c r="AD445" s="9" t="str">
        <f>IF(AND(Y445="Valid",Z445="Valid",AA445="Valid",AB445="Valid",COUNTIF($A$2:A445,A445)=1),"Include","Exclude")</f>
        <v>Include</v>
      </c>
    </row>
    <row r="446" spans="1:30" x14ac:dyDescent="0.35">
      <c r="A446" t="s">
        <v>942</v>
      </c>
      <c r="B446" t="s">
        <v>943</v>
      </c>
      <c r="C446" t="s">
        <v>21</v>
      </c>
      <c r="D446">
        <v>28</v>
      </c>
      <c r="E446" t="s">
        <v>55</v>
      </c>
      <c r="F446" t="s">
        <v>48</v>
      </c>
      <c r="G446" t="s">
        <v>44</v>
      </c>
      <c r="H446" t="s">
        <v>25</v>
      </c>
      <c r="I446">
        <v>4</v>
      </c>
      <c r="J446">
        <v>41391</v>
      </c>
      <c r="K446" t="s">
        <v>45</v>
      </c>
      <c r="L446">
        <v>4</v>
      </c>
      <c r="M446">
        <v>38</v>
      </c>
      <c r="N446">
        <v>6</v>
      </c>
      <c r="O446" t="s">
        <v>27</v>
      </c>
      <c r="P446" t="s">
        <v>28</v>
      </c>
      <c r="Q446">
        <v>2</v>
      </c>
      <c r="R446" t="s">
        <v>27</v>
      </c>
      <c r="S446" t="s">
        <v>27</v>
      </c>
      <c r="T446" t="b">
        <f t="shared" si="60"/>
        <v>0</v>
      </c>
      <c r="U446" t="str">
        <f t="shared" si="61"/>
        <v>Employee_0445</v>
      </c>
      <c r="V446" t="str">
        <f t="shared" si="62"/>
        <v>Female</v>
      </c>
      <c r="W446" t="str">
        <f t="shared" si="63"/>
        <v>Customer Support</v>
      </c>
      <c r="X446" t="str">
        <f t="shared" si="64"/>
        <v>Hyderabad</v>
      </c>
      <c r="Y446" t="str">
        <f t="shared" si="65"/>
        <v>Valid</v>
      </c>
      <c r="Z446" t="str">
        <f t="shared" si="66"/>
        <v>Valid</v>
      </c>
      <c r="AA446" t="str">
        <f t="shared" si="67"/>
        <v>Valid</v>
      </c>
      <c r="AB446" s="9" t="str">
        <f t="shared" si="68"/>
        <v>Valid</v>
      </c>
      <c r="AC446" s="9" t="str">
        <f t="shared" si="69"/>
        <v>Valid</v>
      </c>
      <c r="AD446" s="9" t="str">
        <f>IF(AND(Y446="Valid",Z446="Valid",AA446="Valid",AB446="Valid",COUNTIF($A$2:A446,A446)=1),"Include","Exclude")</f>
        <v>Include</v>
      </c>
    </row>
    <row r="447" spans="1:30" x14ac:dyDescent="0.35">
      <c r="A447" t="s">
        <v>944</v>
      </c>
      <c r="B447" t="s">
        <v>945</v>
      </c>
      <c r="C447" t="s">
        <v>21</v>
      </c>
      <c r="D447">
        <v>32</v>
      </c>
      <c r="E447" t="s">
        <v>55</v>
      </c>
      <c r="F447" t="s">
        <v>33</v>
      </c>
      <c r="G447" t="s">
        <v>24</v>
      </c>
      <c r="H447" t="s">
        <v>131</v>
      </c>
      <c r="I447">
        <v>9</v>
      </c>
      <c r="J447">
        <v>56153</v>
      </c>
      <c r="K447" t="s">
        <v>45</v>
      </c>
      <c r="L447">
        <v>6</v>
      </c>
      <c r="M447">
        <v>25</v>
      </c>
      <c r="N447">
        <v>5</v>
      </c>
      <c r="O447" t="s">
        <v>27</v>
      </c>
      <c r="P447" t="s">
        <v>27</v>
      </c>
      <c r="Q447">
        <v>4</v>
      </c>
      <c r="R447" t="s">
        <v>27</v>
      </c>
      <c r="S447" t="s">
        <v>27</v>
      </c>
      <c r="T447" t="b">
        <f t="shared" si="60"/>
        <v>0</v>
      </c>
      <c r="U447" t="str">
        <f t="shared" si="61"/>
        <v>Employee_0446</v>
      </c>
      <c r="V447" t="str">
        <f t="shared" si="62"/>
        <v>Female</v>
      </c>
      <c r="W447" t="str">
        <f t="shared" si="63"/>
        <v>Sales</v>
      </c>
      <c r="X447" t="str">
        <f t="shared" si="64"/>
        <v>Pune</v>
      </c>
      <c r="Y447" t="str">
        <f t="shared" si="65"/>
        <v>Valid</v>
      </c>
      <c r="Z447" t="str">
        <f t="shared" si="66"/>
        <v>Valid</v>
      </c>
      <c r="AA447" t="str">
        <f t="shared" si="67"/>
        <v>Valid</v>
      </c>
      <c r="AB447" s="9" t="str">
        <f t="shared" si="68"/>
        <v>Valid</v>
      </c>
      <c r="AC447" s="9" t="str">
        <f t="shared" si="69"/>
        <v>Valid</v>
      </c>
      <c r="AD447" s="9" t="str">
        <f>IF(AND(Y447="Valid",Z447="Valid",AA447="Valid",AB447="Valid",COUNTIF($A$2:A447,A447)=1),"Include","Exclude")</f>
        <v>Include</v>
      </c>
    </row>
    <row r="448" spans="1:30" x14ac:dyDescent="0.35">
      <c r="A448" t="s">
        <v>946</v>
      </c>
      <c r="B448" t="s">
        <v>947</v>
      </c>
      <c r="C448" t="s">
        <v>21</v>
      </c>
      <c r="D448">
        <v>34</v>
      </c>
      <c r="E448" t="s">
        <v>38</v>
      </c>
      <c r="F448" t="s">
        <v>60</v>
      </c>
      <c r="G448" t="s">
        <v>24</v>
      </c>
      <c r="H448" t="s">
        <v>61</v>
      </c>
      <c r="I448">
        <v>5</v>
      </c>
      <c r="J448">
        <v>63857</v>
      </c>
      <c r="K448" t="s">
        <v>35</v>
      </c>
      <c r="L448">
        <v>4</v>
      </c>
      <c r="M448">
        <v>53</v>
      </c>
      <c r="N448">
        <v>3</v>
      </c>
      <c r="O448" t="s">
        <v>27</v>
      </c>
      <c r="P448" t="s">
        <v>28</v>
      </c>
      <c r="Q448">
        <v>5</v>
      </c>
      <c r="R448" t="s">
        <v>27</v>
      </c>
      <c r="S448" t="s">
        <v>27</v>
      </c>
      <c r="T448" t="b">
        <f t="shared" si="60"/>
        <v>0</v>
      </c>
      <c r="U448" t="str">
        <f t="shared" si="61"/>
        <v>Employee_0447</v>
      </c>
      <c r="V448" t="str">
        <f t="shared" si="62"/>
        <v>Female</v>
      </c>
      <c r="W448" t="str">
        <f t="shared" si="63"/>
        <v>Hr</v>
      </c>
      <c r="X448" t="str">
        <f t="shared" si="64"/>
        <v>Noida</v>
      </c>
      <c r="Y448" t="str">
        <f t="shared" si="65"/>
        <v>Valid</v>
      </c>
      <c r="Z448" t="str">
        <f t="shared" si="66"/>
        <v>Valid</v>
      </c>
      <c r="AA448" t="str">
        <f t="shared" si="67"/>
        <v>Valid</v>
      </c>
      <c r="AB448" s="9" t="str">
        <f t="shared" si="68"/>
        <v>Valid</v>
      </c>
      <c r="AC448" s="9" t="str">
        <f t="shared" si="69"/>
        <v>Valid</v>
      </c>
      <c r="AD448" s="9" t="str">
        <f>IF(AND(Y448="Valid",Z448="Valid",AA448="Valid",AB448="Valid",COUNTIF($A$2:A448,A448)=1),"Include","Exclude")</f>
        <v>Include</v>
      </c>
    </row>
    <row r="449" spans="1:30" x14ac:dyDescent="0.35">
      <c r="A449" t="s">
        <v>948</v>
      </c>
      <c r="B449" t="s">
        <v>949</v>
      </c>
      <c r="C449" t="s">
        <v>31</v>
      </c>
      <c r="D449">
        <v>34</v>
      </c>
      <c r="E449" t="s">
        <v>38</v>
      </c>
      <c r="F449" t="s">
        <v>43</v>
      </c>
      <c r="G449" t="s">
        <v>24</v>
      </c>
      <c r="H449" t="s">
        <v>61</v>
      </c>
      <c r="I449">
        <v>7</v>
      </c>
      <c r="J449">
        <v>75412</v>
      </c>
      <c r="K449" t="s">
        <v>26</v>
      </c>
      <c r="L449">
        <v>10</v>
      </c>
      <c r="M449">
        <v>34</v>
      </c>
      <c r="N449">
        <v>5</v>
      </c>
      <c r="O449" t="s">
        <v>28</v>
      </c>
      <c r="P449" t="s">
        <v>28</v>
      </c>
      <c r="Q449">
        <v>1</v>
      </c>
      <c r="R449" t="s">
        <v>28</v>
      </c>
      <c r="S449" t="s">
        <v>27</v>
      </c>
      <c r="T449" t="b">
        <f t="shared" si="60"/>
        <v>0</v>
      </c>
      <c r="U449" t="str">
        <f t="shared" si="61"/>
        <v>Employee_0448</v>
      </c>
      <c r="V449" t="str">
        <f t="shared" si="62"/>
        <v>Male</v>
      </c>
      <c r="W449" t="str">
        <f t="shared" si="63"/>
        <v>It</v>
      </c>
      <c r="X449" t="str">
        <f t="shared" si="64"/>
        <v>Noida</v>
      </c>
      <c r="Y449" t="str">
        <f t="shared" si="65"/>
        <v>Valid</v>
      </c>
      <c r="Z449" t="str">
        <f t="shared" si="66"/>
        <v>Valid</v>
      </c>
      <c r="AA449" t="str">
        <f t="shared" si="67"/>
        <v>Valid</v>
      </c>
      <c r="AB449" s="9" t="str">
        <f t="shared" si="68"/>
        <v>Valid</v>
      </c>
      <c r="AC449" s="9" t="str">
        <f t="shared" si="69"/>
        <v>Valid</v>
      </c>
      <c r="AD449" s="9" t="str">
        <f>IF(AND(Y449="Valid",Z449="Valid",AA449="Valid",AB449="Valid",COUNTIF($A$2:A449,A449)=1),"Include","Exclude")</f>
        <v>Include</v>
      </c>
    </row>
    <row r="450" spans="1:30" x14ac:dyDescent="0.35">
      <c r="A450" t="s">
        <v>950</v>
      </c>
      <c r="B450" t="s">
        <v>951</v>
      </c>
      <c r="C450" t="s">
        <v>31</v>
      </c>
      <c r="D450">
        <v>38</v>
      </c>
      <c r="E450" t="s">
        <v>38</v>
      </c>
      <c r="F450" t="s">
        <v>23</v>
      </c>
      <c r="G450" t="s">
        <v>24</v>
      </c>
      <c r="H450" t="s">
        <v>131</v>
      </c>
      <c r="I450">
        <v>10</v>
      </c>
      <c r="J450">
        <v>66016</v>
      </c>
      <c r="K450" t="s">
        <v>26</v>
      </c>
      <c r="L450">
        <v>8</v>
      </c>
      <c r="M450">
        <v>14</v>
      </c>
      <c r="N450">
        <v>2</v>
      </c>
      <c r="O450" t="s">
        <v>27</v>
      </c>
      <c r="P450" t="s">
        <v>28</v>
      </c>
      <c r="Q450">
        <v>5</v>
      </c>
      <c r="R450" t="s">
        <v>27</v>
      </c>
      <c r="S450" t="s">
        <v>27</v>
      </c>
      <c r="T450" t="b">
        <f t="shared" ref="T450:T503" si="70">COUNTIF($A$2:$A$503,A450)&gt;1</f>
        <v>0</v>
      </c>
      <c r="U450" t="str">
        <f t="shared" ref="U450:U503" si="71">TRIM(B450)</f>
        <v>Employee_0449</v>
      </c>
      <c r="V450" t="str">
        <f t="shared" ref="V450:V503" si="72">PROPER(TRIM(C450))</f>
        <v>Male</v>
      </c>
      <c r="W450" t="str">
        <f t="shared" ref="W450:W503" si="73">PROPER(TRIM(F450))</f>
        <v>Finance</v>
      </c>
      <c r="X450" t="str">
        <f t="shared" ref="X450:X503" si="74">PROPER(TRIM(H450))</f>
        <v>Pune</v>
      </c>
      <c r="Y450" t="str">
        <f t="shared" ref="Y450:Y503" si="75">IF(J450&lt;=0,"Check","Valid")</f>
        <v>Valid</v>
      </c>
      <c r="Z450" t="str">
        <f t="shared" ref="Z450:Z503" si="76">IF(AND(L450&gt;=1,L450&lt;=10),"Valid","Check")</f>
        <v>Valid</v>
      </c>
      <c r="AA450" t="str">
        <f t="shared" ref="AA450:AA503" si="77">IF(AND(M450&gt;=0,M450&lt;=200),"Valid","Check")</f>
        <v>Valid</v>
      </c>
      <c r="AB450" s="9" t="str">
        <f t="shared" ref="AB450:AB503" si="78">IF(AND(I450&gt;=0,I450&lt;=50),"Valid","Check")</f>
        <v>Valid</v>
      </c>
      <c r="AC450" s="9" t="str">
        <f t="shared" ref="AC450:AC513" si="79">IF(OR(T450=TRUE,Y450="Check",Z450="Check",AA450="Check",AB450="Check"),"Check","Valid")</f>
        <v>Valid</v>
      </c>
      <c r="AD450" s="9" t="str">
        <f>IF(AND(Y450="Valid",Z450="Valid",AA450="Valid",AB450="Valid",COUNTIF($A$2:A450,A450)=1),"Include","Exclude")</f>
        <v>Include</v>
      </c>
    </row>
    <row r="451" spans="1:30" x14ac:dyDescent="0.35">
      <c r="A451" t="s">
        <v>952</v>
      </c>
      <c r="B451" t="s">
        <v>953</v>
      </c>
      <c r="C451" t="s">
        <v>31</v>
      </c>
      <c r="D451">
        <v>24</v>
      </c>
      <c r="E451" t="s">
        <v>55</v>
      </c>
      <c r="F451" t="s">
        <v>43</v>
      </c>
      <c r="G451" t="s">
        <v>24</v>
      </c>
      <c r="H451" t="s">
        <v>61</v>
      </c>
      <c r="I451">
        <v>2</v>
      </c>
      <c r="J451">
        <v>75981</v>
      </c>
      <c r="K451" t="s">
        <v>35</v>
      </c>
      <c r="L451">
        <v>4</v>
      </c>
      <c r="M451">
        <v>37</v>
      </c>
      <c r="N451">
        <v>4</v>
      </c>
      <c r="O451" t="s">
        <v>28</v>
      </c>
      <c r="P451" t="s">
        <v>27</v>
      </c>
      <c r="Q451">
        <v>2</v>
      </c>
      <c r="R451" t="s">
        <v>27</v>
      </c>
      <c r="S451" t="s">
        <v>28</v>
      </c>
      <c r="T451" t="b">
        <f t="shared" si="70"/>
        <v>0</v>
      </c>
      <c r="U451" t="str">
        <f t="shared" si="71"/>
        <v>Employee_0450</v>
      </c>
      <c r="V451" t="str">
        <f t="shared" si="72"/>
        <v>Male</v>
      </c>
      <c r="W451" t="str">
        <f t="shared" si="73"/>
        <v>It</v>
      </c>
      <c r="X451" t="str">
        <f t="shared" si="74"/>
        <v>Noida</v>
      </c>
      <c r="Y451" t="str">
        <f t="shared" si="75"/>
        <v>Valid</v>
      </c>
      <c r="Z451" t="str">
        <f t="shared" si="76"/>
        <v>Valid</v>
      </c>
      <c r="AA451" t="str">
        <f t="shared" si="77"/>
        <v>Valid</v>
      </c>
      <c r="AB451" s="9" t="str">
        <f t="shared" si="78"/>
        <v>Valid</v>
      </c>
      <c r="AC451" s="9" t="str">
        <f t="shared" si="79"/>
        <v>Valid</v>
      </c>
      <c r="AD451" s="9" t="str">
        <f>IF(AND(Y451="Valid",Z451="Valid",AA451="Valid",AB451="Valid",COUNTIF($A$2:A451,A451)=1),"Include","Exclude")</f>
        <v>Include</v>
      </c>
    </row>
    <row r="452" spans="1:30" x14ac:dyDescent="0.35">
      <c r="A452" t="s">
        <v>954</v>
      </c>
      <c r="B452" t="s">
        <v>955</v>
      </c>
      <c r="C452" t="s">
        <v>21</v>
      </c>
      <c r="D452">
        <v>36</v>
      </c>
      <c r="E452" t="s">
        <v>55</v>
      </c>
      <c r="F452" t="s">
        <v>39</v>
      </c>
      <c r="G452" t="s">
        <v>24</v>
      </c>
      <c r="H452" t="s">
        <v>25</v>
      </c>
      <c r="I452">
        <v>10</v>
      </c>
      <c r="J452">
        <v>46631</v>
      </c>
      <c r="K452" t="s">
        <v>45</v>
      </c>
      <c r="L452">
        <v>6</v>
      </c>
      <c r="M452">
        <v>22</v>
      </c>
      <c r="N452">
        <v>3</v>
      </c>
      <c r="O452" t="s">
        <v>27</v>
      </c>
      <c r="P452" t="s">
        <v>28</v>
      </c>
      <c r="Q452">
        <v>3</v>
      </c>
      <c r="R452" t="s">
        <v>27</v>
      </c>
      <c r="S452" t="s">
        <v>27</v>
      </c>
      <c r="T452" t="b">
        <f t="shared" si="70"/>
        <v>0</v>
      </c>
      <c r="U452" t="str">
        <f t="shared" si="71"/>
        <v>Employee_0451</v>
      </c>
      <c r="V452" t="str">
        <f t="shared" si="72"/>
        <v>Female</v>
      </c>
      <c r="W452" t="str">
        <f t="shared" si="73"/>
        <v>Operations</v>
      </c>
      <c r="X452" t="str">
        <f t="shared" si="74"/>
        <v>Hyderabad</v>
      </c>
      <c r="Y452" t="str">
        <f t="shared" si="75"/>
        <v>Valid</v>
      </c>
      <c r="Z452" t="str">
        <f t="shared" si="76"/>
        <v>Valid</v>
      </c>
      <c r="AA452" t="str">
        <f t="shared" si="77"/>
        <v>Valid</v>
      </c>
      <c r="AB452" s="9" t="str">
        <f t="shared" si="78"/>
        <v>Valid</v>
      </c>
      <c r="AC452" s="9" t="str">
        <f t="shared" si="79"/>
        <v>Valid</v>
      </c>
      <c r="AD452" s="9" t="str">
        <f>IF(AND(Y452="Valid",Z452="Valid",AA452="Valid",AB452="Valid",COUNTIF($A$2:A452,A452)=1),"Include","Exclude")</f>
        <v>Include</v>
      </c>
    </row>
    <row r="453" spans="1:30" x14ac:dyDescent="0.35">
      <c r="A453" t="s">
        <v>956</v>
      </c>
      <c r="B453" t="s">
        <v>957</v>
      </c>
      <c r="C453" t="s">
        <v>21</v>
      </c>
      <c r="D453">
        <v>54</v>
      </c>
      <c r="E453" t="s">
        <v>38</v>
      </c>
      <c r="F453" t="s">
        <v>60</v>
      </c>
      <c r="G453" t="s">
        <v>24</v>
      </c>
      <c r="H453" t="s">
        <v>25</v>
      </c>
      <c r="I453">
        <v>26</v>
      </c>
      <c r="J453">
        <v>75027</v>
      </c>
      <c r="K453" t="s">
        <v>26</v>
      </c>
      <c r="L453">
        <v>6</v>
      </c>
      <c r="M453">
        <v>46</v>
      </c>
      <c r="N453">
        <v>4</v>
      </c>
      <c r="O453" t="s">
        <v>28</v>
      </c>
      <c r="P453" t="s">
        <v>28</v>
      </c>
      <c r="Q453">
        <v>3</v>
      </c>
      <c r="R453" t="s">
        <v>27</v>
      </c>
      <c r="S453" t="s">
        <v>27</v>
      </c>
      <c r="T453" t="b">
        <f t="shared" si="70"/>
        <v>0</v>
      </c>
      <c r="U453" t="str">
        <f t="shared" si="71"/>
        <v>Employee_0452</v>
      </c>
      <c r="V453" t="str">
        <f t="shared" si="72"/>
        <v>Female</v>
      </c>
      <c r="W453" t="str">
        <f t="shared" si="73"/>
        <v>Hr</v>
      </c>
      <c r="X453" t="str">
        <f t="shared" si="74"/>
        <v>Hyderabad</v>
      </c>
      <c r="Y453" t="str">
        <f t="shared" si="75"/>
        <v>Valid</v>
      </c>
      <c r="Z453" t="str">
        <f t="shared" si="76"/>
        <v>Valid</v>
      </c>
      <c r="AA453" t="str">
        <f t="shared" si="77"/>
        <v>Valid</v>
      </c>
      <c r="AB453" s="9" t="str">
        <f t="shared" si="78"/>
        <v>Valid</v>
      </c>
      <c r="AC453" s="9" t="str">
        <f t="shared" si="79"/>
        <v>Valid</v>
      </c>
      <c r="AD453" s="9" t="str">
        <f>IF(AND(Y453="Valid",Z453="Valid",AA453="Valid",AB453="Valid",COUNTIF($A$2:A453,A453)=1),"Include","Exclude")</f>
        <v>Include</v>
      </c>
    </row>
    <row r="454" spans="1:30" x14ac:dyDescent="0.35">
      <c r="A454" t="s">
        <v>958</v>
      </c>
      <c r="B454" t="s">
        <v>959</v>
      </c>
      <c r="C454" t="s">
        <v>31</v>
      </c>
      <c r="D454">
        <v>21</v>
      </c>
      <c r="E454" t="s">
        <v>55</v>
      </c>
      <c r="F454" t="s">
        <v>39</v>
      </c>
      <c r="G454" t="s">
        <v>24</v>
      </c>
      <c r="H454" t="s">
        <v>25</v>
      </c>
      <c r="I454">
        <v>0</v>
      </c>
      <c r="J454">
        <v>51354</v>
      </c>
      <c r="K454" t="s">
        <v>35</v>
      </c>
      <c r="L454">
        <v>4</v>
      </c>
      <c r="M454">
        <v>0</v>
      </c>
      <c r="N454">
        <v>1</v>
      </c>
      <c r="O454" t="s">
        <v>28</v>
      </c>
      <c r="P454" t="s">
        <v>28</v>
      </c>
      <c r="Q454">
        <v>4</v>
      </c>
      <c r="R454" t="s">
        <v>27</v>
      </c>
      <c r="S454" t="s">
        <v>28</v>
      </c>
      <c r="T454" t="b">
        <f t="shared" si="70"/>
        <v>0</v>
      </c>
      <c r="U454" t="str">
        <f t="shared" si="71"/>
        <v>Employee_0453</v>
      </c>
      <c r="V454" t="str">
        <f t="shared" si="72"/>
        <v>Male</v>
      </c>
      <c r="W454" t="str">
        <f t="shared" si="73"/>
        <v>Operations</v>
      </c>
      <c r="X454" t="str">
        <f t="shared" si="74"/>
        <v>Hyderabad</v>
      </c>
      <c r="Y454" t="str">
        <f t="shared" si="75"/>
        <v>Valid</v>
      </c>
      <c r="Z454" t="str">
        <f t="shared" si="76"/>
        <v>Valid</v>
      </c>
      <c r="AA454" t="str">
        <f t="shared" si="77"/>
        <v>Valid</v>
      </c>
      <c r="AB454" s="9" t="str">
        <f t="shared" si="78"/>
        <v>Valid</v>
      </c>
      <c r="AC454" s="9" t="str">
        <f t="shared" si="79"/>
        <v>Valid</v>
      </c>
      <c r="AD454" s="9" t="str">
        <f>IF(AND(Y454="Valid",Z454="Valid",AA454="Valid",AB454="Valid",COUNTIF($A$2:A454,A454)=1),"Include","Exclude")</f>
        <v>Include</v>
      </c>
    </row>
    <row r="455" spans="1:30" x14ac:dyDescent="0.35">
      <c r="A455" t="s">
        <v>960</v>
      </c>
      <c r="B455" t="s">
        <v>961</v>
      </c>
      <c r="C455" t="s">
        <v>31</v>
      </c>
      <c r="D455">
        <v>45</v>
      </c>
      <c r="E455" t="s">
        <v>55</v>
      </c>
      <c r="F455" t="s">
        <v>33</v>
      </c>
      <c r="G455" t="s">
        <v>24</v>
      </c>
      <c r="H455" t="s">
        <v>25</v>
      </c>
      <c r="I455">
        <v>10</v>
      </c>
      <c r="J455">
        <v>66616</v>
      </c>
      <c r="K455" t="s">
        <v>26</v>
      </c>
      <c r="L455">
        <v>9</v>
      </c>
      <c r="M455">
        <v>46</v>
      </c>
      <c r="N455">
        <v>3</v>
      </c>
      <c r="O455" t="s">
        <v>27</v>
      </c>
      <c r="P455" t="s">
        <v>28</v>
      </c>
      <c r="Q455">
        <v>3</v>
      </c>
      <c r="R455" t="s">
        <v>27</v>
      </c>
      <c r="S455" t="s">
        <v>27</v>
      </c>
      <c r="T455" t="b">
        <f t="shared" si="70"/>
        <v>0</v>
      </c>
      <c r="U455" t="str">
        <f t="shared" si="71"/>
        <v>Employee_0454</v>
      </c>
      <c r="V455" t="str">
        <f t="shared" si="72"/>
        <v>Male</v>
      </c>
      <c r="W455" t="str">
        <f t="shared" si="73"/>
        <v>Sales</v>
      </c>
      <c r="X455" t="str">
        <f t="shared" si="74"/>
        <v>Hyderabad</v>
      </c>
      <c r="Y455" t="str">
        <f t="shared" si="75"/>
        <v>Valid</v>
      </c>
      <c r="Z455" t="str">
        <f t="shared" si="76"/>
        <v>Valid</v>
      </c>
      <c r="AA455" t="str">
        <f t="shared" si="77"/>
        <v>Valid</v>
      </c>
      <c r="AB455" s="9" t="str">
        <f t="shared" si="78"/>
        <v>Valid</v>
      </c>
      <c r="AC455" s="9" t="str">
        <f t="shared" si="79"/>
        <v>Valid</v>
      </c>
      <c r="AD455" s="9" t="str">
        <f>IF(AND(Y455="Valid",Z455="Valid",AA455="Valid",AB455="Valid",COUNTIF($A$2:A455,A455)=1),"Include","Exclude")</f>
        <v>Include</v>
      </c>
    </row>
    <row r="456" spans="1:30" x14ac:dyDescent="0.35">
      <c r="A456" t="s">
        <v>962</v>
      </c>
      <c r="B456" t="s">
        <v>963</v>
      </c>
      <c r="C456" t="s">
        <v>21</v>
      </c>
      <c r="D456">
        <v>37</v>
      </c>
      <c r="E456" t="s">
        <v>38</v>
      </c>
      <c r="F456" t="s">
        <v>48</v>
      </c>
      <c r="G456" t="s">
        <v>44</v>
      </c>
      <c r="H456" t="s">
        <v>49</v>
      </c>
      <c r="I456">
        <v>6</v>
      </c>
      <c r="J456">
        <v>68882</v>
      </c>
      <c r="K456" t="s">
        <v>45</v>
      </c>
      <c r="L456">
        <v>7</v>
      </c>
      <c r="M456">
        <v>23</v>
      </c>
      <c r="N456">
        <v>4</v>
      </c>
      <c r="O456" t="s">
        <v>27</v>
      </c>
      <c r="P456" t="s">
        <v>28</v>
      </c>
      <c r="Q456">
        <v>4</v>
      </c>
      <c r="R456" t="s">
        <v>28</v>
      </c>
      <c r="S456" t="s">
        <v>27</v>
      </c>
      <c r="T456" t="b">
        <f t="shared" si="70"/>
        <v>0</v>
      </c>
      <c r="U456" t="str">
        <f t="shared" si="71"/>
        <v>Employee_0455</v>
      </c>
      <c r="V456" t="str">
        <f t="shared" si="72"/>
        <v>Female</v>
      </c>
      <c r="W456" t="str">
        <f t="shared" si="73"/>
        <v>Customer Support</v>
      </c>
      <c r="X456" t="str">
        <f t="shared" si="74"/>
        <v>Delhi</v>
      </c>
      <c r="Y456" t="str">
        <f t="shared" si="75"/>
        <v>Valid</v>
      </c>
      <c r="Z456" t="str">
        <f t="shared" si="76"/>
        <v>Valid</v>
      </c>
      <c r="AA456" t="str">
        <f t="shared" si="77"/>
        <v>Valid</v>
      </c>
      <c r="AB456" s="9" t="str">
        <f t="shared" si="78"/>
        <v>Valid</v>
      </c>
      <c r="AC456" s="9" t="str">
        <f t="shared" si="79"/>
        <v>Valid</v>
      </c>
      <c r="AD456" s="9" t="str">
        <f>IF(AND(Y456="Valid",Z456="Valid",AA456="Valid",AB456="Valid",COUNTIF($A$2:A456,A456)=1),"Include","Exclude")</f>
        <v>Include</v>
      </c>
    </row>
    <row r="457" spans="1:30" x14ac:dyDescent="0.35">
      <c r="A457" t="s">
        <v>964</v>
      </c>
      <c r="B457" t="s">
        <v>965</v>
      </c>
      <c r="C457" t="s">
        <v>21</v>
      </c>
      <c r="D457">
        <v>41</v>
      </c>
      <c r="E457" t="s">
        <v>55</v>
      </c>
      <c r="F457" t="s">
        <v>39</v>
      </c>
      <c r="G457" t="s">
        <v>24</v>
      </c>
      <c r="H457" t="s">
        <v>34</v>
      </c>
      <c r="I457">
        <v>9</v>
      </c>
      <c r="J457">
        <v>52427</v>
      </c>
      <c r="K457" t="s">
        <v>26</v>
      </c>
      <c r="L457">
        <v>1</v>
      </c>
      <c r="M457">
        <v>10</v>
      </c>
      <c r="N457">
        <v>4</v>
      </c>
      <c r="O457" t="s">
        <v>27</v>
      </c>
      <c r="P457" t="s">
        <v>27</v>
      </c>
      <c r="Q457">
        <v>5</v>
      </c>
      <c r="R457" t="s">
        <v>27</v>
      </c>
      <c r="S457" t="s">
        <v>27</v>
      </c>
      <c r="T457" t="b">
        <f t="shared" si="70"/>
        <v>0</v>
      </c>
      <c r="U457" t="str">
        <f t="shared" si="71"/>
        <v>Employee_0456</v>
      </c>
      <c r="V457" t="str">
        <f t="shared" si="72"/>
        <v>Female</v>
      </c>
      <c r="W457" t="str">
        <f t="shared" si="73"/>
        <v>Operations</v>
      </c>
      <c r="X457" t="str">
        <f t="shared" si="74"/>
        <v>Gurgaon</v>
      </c>
      <c r="Y457" t="str">
        <f t="shared" si="75"/>
        <v>Valid</v>
      </c>
      <c r="Z457" t="str">
        <f t="shared" si="76"/>
        <v>Valid</v>
      </c>
      <c r="AA457" t="str">
        <f t="shared" si="77"/>
        <v>Valid</v>
      </c>
      <c r="AB457" s="9" t="str">
        <f t="shared" si="78"/>
        <v>Valid</v>
      </c>
      <c r="AC457" s="9" t="str">
        <f t="shared" si="79"/>
        <v>Valid</v>
      </c>
      <c r="AD457" s="9" t="str">
        <f>IF(AND(Y457="Valid",Z457="Valid",AA457="Valid",AB457="Valid",COUNTIF($A$2:A457,A457)=1),"Include","Exclude")</f>
        <v>Include</v>
      </c>
    </row>
    <row r="458" spans="1:30" x14ac:dyDescent="0.35">
      <c r="A458" t="s">
        <v>966</v>
      </c>
      <c r="B458" t="s">
        <v>967</v>
      </c>
      <c r="C458" t="s">
        <v>21</v>
      </c>
      <c r="D458">
        <v>35</v>
      </c>
      <c r="E458" t="s">
        <v>55</v>
      </c>
      <c r="F458" t="s">
        <v>43</v>
      </c>
      <c r="G458" t="s">
        <v>24</v>
      </c>
      <c r="H458" t="s">
        <v>34</v>
      </c>
      <c r="I458">
        <v>9</v>
      </c>
      <c r="J458">
        <v>75166</v>
      </c>
      <c r="K458" t="s">
        <v>26</v>
      </c>
      <c r="L458">
        <v>3</v>
      </c>
      <c r="M458">
        <v>21</v>
      </c>
      <c r="N458">
        <v>5</v>
      </c>
      <c r="O458" t="s">
        <v>28</v>
      </c>
      <c r="P458" t="s">
        <v>28</v>
      </c>
      <c r="Q458">
        <v>1</v>
      </c>
      <c r="R458" t="s">
        <v>27</v>
      </c>
      <c r="S458" t="s">
        <v>27</v>
      </c>
      <c r="T458" t="b">
        <f t="shared" si="70"/>
        <v>0</v>
      </c>
      <c r="U458" t="str">
        <f t="shared" si="71"/>
        <v>Employee_0457</v>
      </c>
      <c r="V458" t="str">
        <f t="shared" si="72"/>
        <v>Female</v>
      </c>
      <c r="W458" t="str">
        <f t="shared" si="73"/>
        <v>It</v>
      </c>
      <c r="X458" t="str">
        <f t="shared" si="74"/>
        <v>Gurgaon</v>
      </c>
      <c r="Y458" t="str">
        <f t="shared" si="75"/>
        <v>Valid</v>
      </c>
      <c r="Z458" t="str">
        <f t="shared" si="76"/>
        <v>Valid</v>
      </c>
      <c r="AA458" t="str">
        <f t="shared" si="77"/>
        <v>Valid</v>
      </c>
      <c r="AB458" s="9" t="str">
        <f t="shared" si="78"/>
        <v>Valid</v>
      </c>
      <c r="AC458" s="9" t="str">
        <f t="shared" si="79"/>
        <v>Valid</v>
      </c>
      <c r="AD458" s="9" t="str">
        <f>IF(AND(Y458="Valid",Z458="Valid",AA458="Valid",AB458="Valid",COUNTIF($A$2:A458,A458)=1),"Include","Exclude")</f>
        <v>Include</v>
      </c>
    </row>
    <row r="459" spans="1:30" x14ac:dyDescent="0.35">
      <c r="A459" t="s">
        <v>968</v>
      </c>
      <c r="B459" t="s">
        <v>969</v>
      </c>
      <c r="C459" t="s">
        <v>21</v>
      </c>
      <c r="D459">
        <v>42</v>
      </c>
      <c r="E459" t="s">
        <v>32</v>
      </c>
      <c r="F459" t="s">
        <v>64</v>
      </c>
      <c r="G459" t="s">
        <v>69</v>
      </c>
      <c r="H459" t="s">
        <v>61</v>
      </c>
      <c r="I459">
        <v>10</v>
      </c>
      <c r="J459">
        <v>59335</v>
      </c>
      <c r="K459" t="s">
        <v>26</v>
      </c>
      <c r="L459">
        <v>4</v>
      </c>
      <c r="M459">
        <v>46</v>
      </c>
      <c r="N459">
        <v>8</v>
      </c>
      <c r="O459" t="s">
        <v>27</v>
      </c>
      <c r="P459" t="s">
        <v>28</v>
      </c>
      <c r="Q459">
        <v>1</v>
      </c>
      <c r="R459" t="s">
        <v>27</v>
      </c>
      <c r="S459" t="s">
        <v>27</v>
      </c>
      <c r="T459" t="b">
        <f t="shared" si="70"/>
        <v>0</v>
      </c>
      <c r="U459" t="str">
        <f t="shared" si="71"/>
        <v>Employee_0458</v>
      </c>
      <c r="V459" t="str">
        <f t="shared" si="72"/>
        <v>Female</v>
      </c>
      <c r="W459" t="str">
        <f t="shared" si="73"/>
        <v>Marketing</v>
      </c>
      <c r="X459" t="str">
        <f t="shared" si="74"/>
        <v>Noida</v>
      </c>
      <c r="Y459" t="str">
        <f t="shared" si="75"/>
        <v>Valid</v>
      </c>
      <c r="Z459" t="str">
        <f t="shared" si="76"/>
        <v>Valid</v>
      </c>
      <c r="AA459" t="str">
        <f t="shared" si="77"/>
        <v>Valid</v>
      </c>
      <c r="AB459" s="9" t="str">
        <f t="shared" si="78"/>
        <v>Valid</v>
      </c>
      <c r="AC459" s="9" t="str">
        <f t="shared" si="79"/>
        <v>Valid</v>
      </c>
      <c r="AD459" s="9" t="str">
        <f>IF(AND(Y459="Valid",Z459="Valid",AA459="Valid",AB459="Valid",COUNTIF($A$2:A459,A459)=1),"Include","Exclude")</f>
        <v>Include</v>
      </c>
    </row>
    <row r="460" spans="1:30" x14ac:dyDescent="0.35">
      <c r="A460" t="s">
        <v>970</v>
      </c>
      <c r="B460" t="s">
        <v>971</v>
      </c>
      <c r="C460" t="s">
        <v>31</v>
      </c>
      <c r="D460">
        <v>24</v>
      </c>
      <c r="E460" t="s">
        <v>22</v>
      </c>
      <c r="F460" t="s">
        <v>33</v>
      </c>
      <c r="G460" t="s">
        <v>24</v>
      </c>
      <c r="H460" t="s">
        <v>131</v>
      </c>
      <c r="I460">
        <v>1</v>
      </c>
      <c r="J460">
        <v>57769</v>
      </c>
      <c r="K460" t="s">
        <v>26</v>
      </c>
      <c r="L460">
        <v>1</v>
      </c>
      <c r="M460">
        <v>36</v>
      </c>
      <c r="N460">
        <v>4</v>
      </c>
      <c r="O460" t="s">
        <v>27</v>
      </c>
      <c r="P460" t="s">
        <v>28</v>
      </c>
      <c r="Q460">
        <v>2</v>
      </c>
      <c r="R460" t="s">
        <v>27</v>
      </c>
      <c r="S460" t="s">
        <v>28</v>
      </c>
      <c r="T460" t="b">
        <f t="shared" si="70"/>
        <v>0</v>
      </c>
      <c r="U460" t="str">
        <f t="shared" si="71"/>
        <v>Employee_0459</v>
      </c>
      <c r="V460" t="str">
        <f t="shared" si="72"/>
        <v>Male</v>
      </c>
      <c r="W460" t="str">
        <f t="shared" si="73"/>
        <v>Sales</v>
      </c>
      <c r="X460" t="str">
        <f t="shared" si="74"/>
        <v>Pune</v>
      </c>
      <c r="Y460" t="str">
        <f t="shared" si="75"/>
        <v>Valid</v>
      </c>
      <c r="Z460" t="str">
        <f t="shared" si="76"/>
        <v>Valid</v>
      </c>
      <c r="AA460" t="str">
        <f t="shared" si="77"/>
        <v>Valid</v>
      </c>
      <c r="AB460" s="9" t="str">
        <f t="shared" si="78"/>
        <v>Valid</v>
      </c>
      <c r="AC460" s="9" t="str">
        <f t="shared" si="79"/>
        <v>Valid</v>
      </c>
      <c r="AD460" s="9" t="str">
        <f>IF(AND(Y460="Valid",Z460="Valid",AA460="Valid",AB460="Valid",COUNTIF($A$2:A460,A460)=1),"Include","Exclude")</f>
        <v>Include</v>
      </c>
    </row>
    <row r="461" spans="1:30" x14ac:dyDescent="0.35">
      <c r="A461" t="s">
        <v>972</v>
      </c>
      <c r="B461" t="s">
        <v>973</v>
      </c>
      <c r="C461" t="s">
        <v>31</v>
      </c>
      <c r="D461">
        <v>34</v>
      </c>
      <c r="E461" t="s">
        <v>32</v>
      </c>
      <c r="F461" t="s">
        <v>48</v>
      </c>
      <c r="G461" t="s">
        <v>24</v>
      </c>
      <c r="H461" t="s">
        <v>52</v>
      </c>
      <c r="I461">
        <v>5</v>
      </c>
      <c r="J461">
        <v>48144</v>
      </c>
      <c r="K461" t="s">
        <v>45</v>
      </c>
      <c r="L461">
        <v>8</v>
      </c>
      <c r="M461">
        <v>0</v>
      </c>
      <c r="N461">
        <v>8</v>
      </c>
      <c r="O461" t="s">
        <v>28</v>
      </c>
      <c r="P461" t="s">
        <v>27</v>
      </c>
      <c r="Q461">
        <v>4</v>
      </c>
      <c r="R461" t="s">
        <v>27</v>
      </c>
      <c r="S461" t="s">
        <v>27</v>
      </c>
      <c r="T461" t="b">
        <f t="shared" si="70"/>
        <v>0</v>
      </c>
      <c r="U461" t="str">
        <f t="shared" si="71"/>
        <v>Employee_0460</v>
      </c>
      <c r="V461" t="str">
        <f t="shared" si="72"/>
        <v>Male</v>
      </c>
      <c r="W461" t="str">
        <f t="shared" si="73"/>
        <v>Customer Support</v>
      </c>
      <c r="X461" t="str">
        <f t="shared" si="74"/>
        <v>Mumbai</v>
      </c>
      <c r="Y461" t="str">
        <f t="shared" si="75"/>
        <v>Valid</v>
      </c>
      <c r="Z461" t="str">
        <f t="shared" si="76"/>
        <v>Valid</v>
      </c>
      <c r="AA461" t="str">
        <f t="shared" si="77"/>
        <v>Valid</v>
      </c>
      <c r="AB461" s="9" t="str">
        <f t="shared" si="78"/>
        <v>Valid</v>
      </c>
      <c r="AC461" s="9" t="str">
        <f t="shared" si="79"/>
        <v>Valid</v>
      </c>
      <c r="AD461" s="9" t="str">
        <f>IF(AND(Y461="Valid",Z461="Valid",AA461="Valid",AB461="Valid",COUNTIF($A$2:A461,A461)=1),"Include","Exclude")</f>
        <v>Include</v>
      </c>
    </row>
    <row r="462" spans="1:30" x14ac:dyDescent="0.35">
      <c r="A462" t="s">
        <v>974</v>
      </c>
      <c r="B462" t="s">
        <v>975</v>
      </c>
      <c r="C462" t="s">
        <v>21</v>
      </c>
      <c r="D462">
        <v>50</v>
      </c>
      <c r="E462" t="s">
        <v>55</v>
      </c>
      <c r="F462" t="s">
        <v>48</v>
      </c>
      <c r="G462" t="s">
        <v>24</v>
      </c>
      <c r="H462" t="s">
        <v>52</v>
      </c>
      <c r="I462">
        <v>14</v>
      </c>
      <c r="J462">
        <v>53210</v>
      </c>
      <c r="K462" t="s">
        <v>26</v>
      </c>
      <c r="L462">
        <v>6</v>
      </c>
      <c r="M462">
        <v>19</v>
      </c>
      <c r="N462">
        <v>7</v>
      </c>
      <c r="O462" t="s">
        <v>27</v>
      </c>
      <c r="P462" t="s">
        <v>28</v>
      </c>
      <c r="Q462">
        <v>2</v>
      </c>
      <c r="R462" t="s">
        <v>27</v>
      </c>
      <c r="S462" t="s">
        <v>27</v>
      </c>
      <c r="T462" t="b">
        <f t="shared" si="70"/>
        <v>0</v>
      </c>
      <c r="U462" t="str">
        <f t="shared" si="71"/>
        <v>Employee_0461</v>
      </c>
      <c r="V462" t="str">
        <f t="shared" si="72"/>
        <v>Female</v>
      </c>
      <c r="W462" t="str">
        <f t="shared" si="73"/>
        <v>Customer Support</v>
      </c>
      <c r="X462" t="str">
        <f t="shared" si="74"/>
        <v>Mumbai</v>
      </c>
      <c r="Y462" t="str">
        <f t="shared" si="75"/>
        <v>Valid</v>
      </c>
      <c r="Z462" t="str">
        <f t="shared" si="76"/>
        <v>Valid</v>
      </c>
      <c r="AA462" t="str">
        <f t="shared" si="77"/>
        <v>Valid</v>
      </c>
      <c r="AB462" s="9" t="str">
        <f t="shared" si="78"/>
        <v>Valid</v>
      </c>
      <c r="AC462" s="9" t="str">
        <f t="shared" si="79"/>
        <v>Valid</v>
      </c>
      <c r="AD462" s="9" t="str">
        <f>IF(AND(Y462="Valid",Z462="Valid",AA462="Valid",AB462="Valid",COUNTIF($A$2:A462,A462)=1),"Include","Exclude")</f>
        <v>Include</v>
      </c>
    </row>
    <row r="463" spans="1:30" x14ac:dyDescent="0.35">
      <c r="A463" t="s">
        <v>976</v>
      </c>
      <c r="B463" t="s">
        <v>977</v>
      </c>
      <c r="C463" t="s">
        <v>21</v>
      </c>
      <c r="D463">
        <v>32</v>
      </c>
      <c r="E463" t="s">
        <v>32</v>
      </c>
      <c r="F463" t="s">
        <v>48</v>
      </c>
      <c r="G463" t="s">
        <v>24</v>
      </c>
      <c r="H463" t="s">
        <v>70</v>
      </c>
      <c r="I463">
        <v>8</v>
      </c>
      <c r="J463">
        <v>44199</v>
      </c>
      <c r="K463" t="s">
        <v>45</v>
      </c>
      <c r="L463">
        <v>6</v>
      </c>
      <c r="M463">
        <v>0</v>
      </c>
      <c r="N463">
        <v>2</v>
      </c>
      <c r="O463" t="s">
        <v>28</v>
      </c>
      <c r="P463" t="s">
        <v>28</v>
      </c>
      <c r="Q463">
        <v>3</v>
      </c>
      <c r="R463" t="s">
        <v>27</v>
      </c>
      <c r="S463" t="s">
        <v>27</v>
      </c>
      <c r="T463" t="b">
        <f t="shared" si="70"/>
        <v>0</v>
      </c>
      <c r="U463" t="str">
        <f t="shared" si="71"/>
        <v>Employee_0462</v>
      </c>
      <c r="V463" t="str">
        <f t="shared" si="72"/>
        <v>Female</v>
      </c>
      <c r="W463" t="str">
        <f t="shared" si="73"/>
        <v>Customer Support</v>
      </c>
      <c r="X463" t="str">
        <f t="shared" si="74"/>
        <v>Bangalore</v>
      </c>
      <c r="Y463" t="str">
        <f t="shared" si="75"/>
        <v>Valid</v>
      </c>
      <c r="Z463" t="str">
        <f t="shared" si="76"/>
        <v>Valid</v>
      </c>
      <c r="AA463" t="str">
        <f t="shared" si="77"/>
        <v>Valid</v>
      </c>
      <c r="AB463" s="9" t="str">
        <f t="shared" si="78"/>
        <v>Valid</v>
      </c>
      <c r="AC463" s="9" t="str">
        <f t="shared" si="79"/>
        <v>Valid</v>
      </c>
      <c r="AD463" s="9" t="str">
        <f>IF(AND(Y463="Valid",Z463="Valid",AA463="Valid",AB463="Valid",COUNTIF($A$2:A463,A463)=1),"Include","Exclude")</f>
        <v>Include</v>
      </c>
    </row>
    <row r="464" spans="1:30" x14ac:dyDescent="0.35">
      <c r="A464" t="s">
        <v>978</v>
      </c>
      <c r="B464" t="s">
        <v>979</v>
      </c>
      <c r="C464" t="s">
        <v>31</v>
      </c>
      <c r="D464">
        <v>41</v>
      </c>
      <c r="E464" t="s">
        <v>22</v>
      </c>
      <c r="F464" t="s">
        <v>48</v>
      </c>
      <c r="G464" t="s">
        <v>69</v>
      </c>
      <c r="H464" t="s">
        <v>25</v>
      </c>
      <c r="I464">
        <v>16</v>
      </c>
      <c r="J464">
        <v>53627</v>
      </c>
      <c r="K464" t="s">
        <v>26</v>
      </c>
      <c r="L464">
        <v>10</v>
      </c>
      <c r="M464">
        <v>20</v>
      </c>
      <c r="N464">
        <v>3</v>
      </c>
      <c r="O464" t="s">
        <v>28</v>
      </c>
      <c r="P464" t="s">
        <v>28</v>
      </c>
      <c r="Q464">
        <v>1</v>
      </c>
      <c r="R464" t="s">
        <v>27</v>
      </c>
      <c r="S464" t="s">
        <v>27</v>
      </c>
      <c r="T464" t="b">
        <f t="shared" si="70"/>
        <v>0</v>
      </c>
      <c r="U464" t="str">
        <f t="shared" si="71"/>
        <v>Employee_0463</v>
      </c>
      <c r="V464" t="str">
        <f t="shared" si="72"/>
        <v>Male</v>
      </c>
      <c r="W464" t="str">
        <f t="shared" si="73"/>
        <v>Customer Support</v>
      </c>
      <c r="X464" t="str">
        <f t="shared" si="74"/>
        <v>Hyderabad</v>
      </c>
      <c r="Y464" t="str">
        <f t="shared" si="75"/>
        <v>Valid</v>
      </c>
      <c r="Z464" t="str">
        <f t="shared" si="76"/>
        <v>Valid</v>
      </c>
      <c r="AA464" t="str">
        <f t="shared" si="77"/>
        <v>Valid</v>
      </c>
      <c r="AB464" s="9" t="str">
        <f t="shared" si="78"/>
        <v>Valid</v>
      </c>
      <c r="AC464" s="9" t="str">
        <f t="shared" si="79"/>
        <v>Valid</v>
      </c>
      <c r="AD464" s="9" t="str">
        <f>IF(AND(Y464="Valid",Z464="Valid",AA464="Valid",AB464="Valid",COUNTIF($A$2:A464,A464)=1),"Include","Exclude")</f>
        <v>Include</v>
      </c>
    </row>
    <row r="465" spans="1:30" x14ac:dyDescent="0.35">
      <c r="A465" t="s">
        <v>980</v>
      </c>
      <c r="B465" t="s">
        <v>981</v>
      </c>
      <c r="C465" t="s">
        <v>21</v>
      </c>
      <c r="D465">
        <v>37</v>
      </c>
      <c r="E465" t="s">
        <v>38</v>
      </c>
      <c r="F465" t="s">
        <v>60</v>
      </c>
      <c r="G465" t="s">
        <v>24</v>
      </c>
      <c r="H465" t="s">
        <v>25</v>
      </c>
      <c r="I465">
        <v>10</v>
      </c>
      <c r="J465">
        <v>64502</v>
      </c>
      <c r="K465" t="s">
        <v>45</v>
      </c>
      <c r="L465">
        <v>5</v>
      </c>
      <c r="M465">
        <v>31</v>
      </c>
      <c r="N465">
        <v>1</v>
      </c>
      <c r="O465" t="s">
        <v>27</v>
      </c>
      <c r="P465" t="s">
        <v>27</v>
      </c>
      <c r="Q465">
        <v>5</v>
      </c>
      <c r="R465" t="s">
        <v>27</v>
      </c>
      <c r="S465" t="s">
        <v>28</v>
      </c>
      <c r="T465" t="b">
        <f t="shared" si="70"/>
        <v>0</v>
      </c>
      <c r="U465" t="str">
        <f t="shared" si="71"/>
        <v>Employee_0464</v>
      </c>
      <c r="V465" t="str">
        <f t="shared" si="72"/>
        <v>Female</v>
      </c>
      <c r="W465" t="str">
        <f t="shared" si="73"/>
        <v>Hr</v>
      </c>
      <c r="X465" t="str">
        <f t="shared" si="74"/>
        <v>Hyderabad</v>
      </c>
      <c r="Y465" t="str">
        <f t="shared" si="75"/>
        <v>Valid</v>
      </c>
      <c r="Z465" t="str">
        <f t="shared" si="76"/>
        <v>Valid</v>
      </c>
      <c r="AA465" t="str">
        <f t="shared" si="77"/>
        <v>Valid</v>
      </c>
      <c r="AB465" s="9" t="str">
        <f t="shared" si="78"/>
        <v>Valid</v>
      </c>
      <c r="AC465" s="9" t="str">
        <f t="shared" si="79"/>
        <v>Valid</v>
      </c>
      <c r="AD465" s="9" t="str">
        <f>IF(AND(Y465="Valid",Z465="Valid",AA465="Valid",AB465="Valid",COUNTIF($A$2:A465,A465)=1),"Include","Exclude")</f>
        <v>Include</v>
      </c>
    </row>
    <row r="466" spans="1:30" x14ac:dyDescent="0.35">
      <c r="A466" t="s">
        <v>982</v>
      </c>
      <c r="B466" t="s">
        <v>983</v>
      </c>
      <c r="C466" t="s">
        <v>21</v>
      </c>
      <c r="D466">
        <v>49</v>
      </c>
      <c r="E466" t="s">
        <v>38</v>
      </c>
      <c r="F466" t="s">
        <v>39</v>
      </c>
      <c r="G466" t="s">
        <v>24</v>
      </c>
      <c r="H466" t="s">
        <v>70</v>
      </c>
      <c r="I466">
        <v>17</v>
      </c>
      <c r="J466">
        <v>67527</v>
      </c>
      <c r="K466" t="s">
        <v>26</v>
      </c>
      <c r="L466">
        <v>5</v>
      </c>
      <c r="M466">
        <v>11</v>
      </c>
      <c r="N466">
        <v>3</v>
      </c>
      <c r="O466" t="s">
        <v>27</v>
      </c>
      <c r="P466" t="s">
        <v>27</v>
      </c>
      <c r="Q466">
        <v>5</v>
      </c>
      <c r="R466" t="s">
        <v>27</v>
      </c>
      <c r="S466" t="s">
        <v>27</v>
      </c>
      <c r="T466" t="b">
        <f t="shared" si="70"/>
        <v>0</v>
      </c>
      <c r="U466" t="str">
        <f t="shared" si="71"/>
        <v>Employee_0465</v>
      </c>
      <c r="V466" t="str">
        <f t="shared" si="72"/>
        <v>Female</v>
      </c>
      <c r="W466" t="str">
        <f t="shared" si="73"/>
        <v>Operations</v>
      </c>
      <c r="X466" t="str">
        <f t="shared" si="74"/>
        <v>Bangalore</v>
      </c>
      <c r="Y466" t="str">
        <f t="shared" si="75"/>
        <v>Valid</v>
      </c>
      <c r="Z466" t="str">
        <f t="shared" si="76"/>
        <v>Valid</v>
      </c>
      <c r="AA466" t="str">
        <f t="shared" si="77"/>
        <v>Valid</v>
      </c>
      <c r="AB466" s="9" t="str">
        <f t="shared" si="78"/>
        <v>Valid</v>
      </c>
      <c r="AC466" s="9" t="str">
        <f t="shared" si="79"/>
        <v>Valid</v>
      </c>
      <c r="AD466" s="9" t="str">
        <f>IF(AND(Y466="Valid",Z466="Valid",AA466="Valid",AB466="Valid",COUNTIF($A$2:A466,A466)=1),"Include","Exclude")</f>
        <v>Include</v>
      </c>
    </row>
    <row r="467" spans="1:30" x14ac:dyDescent="0.35">
      <c r="A467" t="s">
        <v>984</v>
      </c>
      <c r="B467" t="s">
        <v>985</v>
      </c>
      <c r="C467" t="s">
        <v>31</v>
      </c>
      <c r="D467">
        <v>34</v>
      </c>
      <c r="E467" t="s">
        <v>32</v>
      </c>
      <c r="F467" t="s">
        <v>64</v>
      </c>
      <c r="G467" t="s">
        <v>24</v>
      </c>
      <c r="H467" t="s">
        <v>25</v>
      </c>
      <c r="I467">
        <v>7</v>
      </c>
      <c r="J467">
        <v>64817</v>
      </c>
      <c r="K467" t="s">
        <v>45</v>
      </c>
      <c r="L467">
        <v>9</v>
      </c>
      <c r="M467">
        <v>13</v>
      </c>
      <c r="N467">
        <v>5</v>
      </c>
      <c r="O467" t="s">
        <v>27</v>
      </c>
      <c r="P467" t="s">
        <v>27</v>
      </c>
      <c r="Q467">
        <v>3</v>
      </c>
      <c r="R467" t="s">
        <v>27</v>
      </c>
      <c r="S467" t="s">
        <v>27</v>
      </c>
      <c r="T467" t="b">
        <f t="shared" si="70"/>
        <v>0</v>
      </c>
      <c r="U467" t="str">
        <f t="shared" si="71"/>
        <v>Employee_0466</v>
      </c>
      <c r="V467" t="str">
        <f t="shared" si="72"/>
        <v>Male</v>
      </c>
      <c r="W467" t="str">
        <f t="shared" si="73"/>
        <v>Marketing</v>
      </c>
      <c r="X467" t="str">
        <f t="shared" si="74"/>
        <v>Hyderabad</v>
      </c>
      <c r="Y467" t="str">
        <f t="shared" si="75"/>
        <v>Valid</v>
      </c>
      <c r="Z467" t="str">
        <f t="shared" si="76"/>
        <v>Valid</v>
      </c>
      <c r="AA467" t="str">
        <f t="shared" si="77"/>
        <v>Valid</v>
      </c>
      <c r="AB467" s="9" t="str">
        <f t="shared" si="78"/>
        <v>Valid</v>
      </c>
      <c r="AC467" s="9" t="str">
        <f t="shared" si="79"/>
        <v>Valid</v>
      </c>
      <c r="AD467" s="9" t="str">
        <f>IF(AND(Y467="Valid",Z467="Valid",AA467="Valid",AB467="Valid",COUNTIF($A$2:A467,A467)=1),"Include","Exclude")</f>
        <v>Include</v>
      </c>
    </row>
    <row r="468" spans="1:30" x14ac:dyDescent="0.35">
      <c r="A468" t="s">
        <v>986</v>
      </c>
      <c r="B468" t="s">
        <v>987</v>
      </c>
      <c r="C468" t="s">
        <v>31</v>
      </c>
      <c r="D468">
        <v>51</v>
      </c>
      <c r="E468" t="s">
        <v>38</v>
      </c>
      <c r="F468" t="s">
        <v>64</v>
      </c>
      <c r="G468" t="s">
        <v>24</v>
      </c>
      <c r="H468" t="s">
        <v>52</v>
      </c>
      <c r="I468">
        <v>12</v>
      </c>
      <c r="J468">
        <v>67803</v>
      </c>
      <c r="K468" t="s">
        <v>26</v>
      </c>
      <c r="L468">
        <v>3</v>
      </c>
      <c r="M468">
        <v>14</v>
      </c>
      <c r="N468">
        <v>0</v>
      </c>
      <c r="O468" t="s">
        <v>28</v>
      </c>
      <c r="P468" t="s">
        <v>28</v>
      </c>
      <c r="Q468">
        <v>3</v>
      </c>
      <c r="R468" t="s">
        <v>27</v>
      </c>
      <c r="S468" t="s">
        <v>27</v>
      </c>
      <c r="T468" t="b">
        <f t="shared" si="70"/>
        <v>0</v>
      </c>
      <c r="U468" t="str">
        <f t="shared" si="71"/>
        <v>Employee_0467</v>
      </c>
      <c r="V468" t="str">
        <f t="shared" si="72"/>
        <v>Male</v>
      </c>
      <c r="W468" t="str">
        <f t="shared" si="73"/>
        <v>Marketing</v>
      </c>
      <c r="X468" t="str">
        <f t="shared" si="74"/>
        <v>Mumbai</v>
      </c>
      <c r="Y468" t="str">
        <f t="shared" si="75"/>
        <v>Valid</v>
      </c>
      <c r="Z468" t="str">
        <f t="shared" si="76"/>
        <v>Valid</v>
      </c>
      <c r="AA468" t="str">
        <f t="shared" si="77"/>
        <v>Valid</v>
      </c>
      <c r="AB468" s="9" t="str">
        <f t="shared" si="78"/>
        <v>Valid</v>
      </c>
      <c r="AC468" s="9" t="str">
        <f t="shared" si="79"/>
        <v>Valid</v>
      </c>
      <c r="AD468" s="9" t="str">
        <f>IF(AND(Y468="Valid",Z468="Valid",AA468="Valid",AB468="Valid",COUNTIF($A$2:A468,A468)=1),"Include","Exclude")</f>
        <v>Include</v>
      </c>
    </row>
    <row r="469" spans="1:30" x14ac:dyDescent="0.35">
      <c r="A469" t="s">
        <v>988</v>
      </c>
      <c r="B469" t="s">
        <v>989</v>
      </c>
      <c r="C469" t="s">
        <v>21</v>
      </c>
      <c r="D469">
        <v>26</v>
      </c>
      <c r="E469" t="s">
        <v>32</v>
      </c>
      <c r="F469" t="s">
        <v>64</v>
      </c>
      <c r="G469" t="s">
        <v>24</v>
      </c>
      <c r="H469" t="s">
        <v>61</v>
      </c>
      <c r="I469">
        <v>3</v>
      </c>
      <c r="J469">
        <v>62259</v>
      </c>
      <c r="K469" t="s">
        <v>26</v>
      </c>
      <c r="L469">
        <v>2</v>
      </c>
      <c r="M469">
        <v>6</v>
      </c>
      <c r="N469">
        <v>4</v>
      </c>
      <c r="O469" t="s">
        <v>27</v>
      </c>
      <c r="P469" t="s">
        <v>28</v>
      </c>
      <c r="Q469">
        <v>3</v>
      </c>
      <c r="R469" t="s">
        <v>27</v>
      </c>
      <c r="S469" t="s">
        <v>27</v>
      </c>
      <c r="T469" t="b">
        <f t="shared" si="70"/>
        <v>0</v>
      </c>
      <c r="U469" t="str">
        <f t="shared" si="71"/>
        <v>Employee_0468</v>
      </c>
      <c r="V469" t="str">
        <f t="shared" si="72"/>
        <v>Female</v>
      </c>
      <c r="W469" t="str">
        <f t="shared" si="73"/>
        <v>Marketing</v>
      </c>
      <c r="X469" t="str">
        <f t="shared" si="74"/>
        <v>Noida</v>
      </c>
      <c r="Y469" t="str">
        <f t="shared" si="75"/>
        <v>Valid</v>
      </c>
      <c r="Z469" t="str">
        <f t="shared" si="76"/>
        <v>Valid</v>
      </c>
      <c r="AA469" t="str">
        <f t="shared" si="77"/>
        <v>Valid</v>
      </c>
      <c r="AB469" s="9" t="str">
        <f t="shared" si="78"/>
        <v>Valid</v>
      </c>
      <c r="AC469" s="9" t="str">
        <f t="shared" si="79"/>
        <v>Valid</v>
      </c>
      <c r="AD469" s="9" t="str">
        <f>IF(AND(Y469="Valid",Z469="Valid",AA469="Valid",AB469="Valid",COUNTIF($A$2:A469,A469)=1),"Include","Exclude")</f>
        <v>Include</v>
      </c>
    </row>
    <row r="470" spans="1:30" x14ac:dyDescent="0.35">
      <c r="A470" t="s">
        <v>990</v>
      </c>
      <c r="B470" t="s">
        <v>991</v>
      </c>
      <c r="C470" t="s">
        <v>31</v>
      </c>
      <c r="D470">
        <v>21</v>
      </c>
      <c r="E470" t="s">
        <v>38</v>
      </c>
      <c r="F470" t="s">
        <v>23</v>
      </c>
      <c r="G470" t="s">
        <v>69</v>
      </c>
      <c r="H470" t="s">
        <v>52</v>
      </c>
      <c r="I470">
        <v>0</v>
      </c>
      <c r="J470">
        <v>76019</v>
      </c>
      <c r="K470" t="s">
        <v>35</v>
      </c>
      <c r="L470">
        <v>9</v>
      </c>
      <c r="M470">
        <v>29</v>
      </c>
      <c r="N470">
        <v>5</v>
      </c>
      <c r="O470" t="s">
        <v>27</v>
      </c>
      <c r="P470" t="s">
        <v>28</v>
      </c>
      <c r="Q470">
        <v>4</v>
      </c>
      <c r="R470" t="s">
        <v>28</v>
      </c>
      <c r="S470" t="s">
        <v>27</v>
      </c>
      <c r="T470" t="b">
        <f t="shared" si="70"/>
        <v>0</v>
      </c>
      <c r="U470" t="str">
        <f t="shared" si="71"/>
        <v>Employee_0469</v>
      </c>
      <c r="V470" t="str">
        <f t="shared" si="72"/>
        <v>Male</v>
      </c>
      <c r="W470" t="str">
        <f t="shared" si="73"/>
        <v>Finance</v>
      </c>
      <c r="X470" t="str">
        <f t="shared" si="74"/>
        <v>Mumbai</v>
      </c>
      <c r="Y470" t="str">
        <f t="shared" si="75"/>
        <v>Valid</v>
      </c>
      <c r="Z470" t="str">
        <f t="shared" si="76"/>
        <v>Valid</v>
      </c>
      <c r="AA470" t="str">
        <f t="shared" si="77"/>
        <v>Valid</v>
      </c>
      <c r="AB470" s="9" t="str">
        <f t="shared" si="78"/>
        <v>Valid</v>
      </c>
      <c r="AC470" s="9" t="str">
        <f t="shared" si="79"/>
        <v>Valid</v>
      </c>
      <c r="AD470" s="9" t="str">
        <f>IF(AND(Y470="Valid",Z470="Valid",AA470="Valid",AB470="Valid",COUNTIF($A$2:A470,A470)=1),"Include","Exclude")</f>
        <v>Include</v>
      </c>
    </row>
    <row r="471" spans="1:30" x14ac:dyDescent="0.35">
      <c r="A471" t="s">
        <v>992</v>
      </c>
      <c r="B471" t="s">
        <v>993</v>
      </c>
      <c r="C471" t="s">
        <v>31</v>
      </c>
      <c r="D471">
        <v>26</v>
      </c>
      <c r="E471" t="s">
        <v>55</v>
      </c>
      <c r="F471" t="s">
        <v>23</v>
      </c>
      <c r="G471" t="s">
        <v>44</v>
      </c>
      <c r="H471" t="s">
        <v>131</v>
      </c>
      <c r="I471">
        <v>4</v>
      </c>
      <c r="J471">
        <v>62544</v>
      </c>
      <c r="K471" t="s">
        <v>45</v>
      </c>
      <c r="L471">
        <v>9</v>
      </c>
      <c r="M471">
        <v>34</v>
      </c>
      <c r="N471">
        <v>1</v>
      </c>
      <c r="O471" t="s">
        <v>27</v>
      </c>
      <c r="P471" t="s">
        <v>28</v>
      </c>
      <c r="Q471">
        <v>3</v>
      </c>
      <c r="R471" t="s">
        <v>27</v>
      </c>
      <c r="S471" t="s">
        <v>27</v>
      </c>
      <c r="T471" t="b">
        <f t="shared" si="70"/>
        <v>0</v>
      </c>
      <c r="U471" t="str">
        <f t="shared" si="71"/>
        <v>Employee_0470</v>
      </c>
      <c r="V471" t="str">
        <f t="shared" si="72"/>
        <v>Male</v>
      </c>
      <c r="W471" t="str">
        <f t="shared" si="73"/>
        <v>Finance</v>
      </c>
      <c r="X471" t="str">
        <f t="shared" si="74"/>
        <v>Pune</v>
      </c>
      <c r="Y471" t="str">
        <f t="shared" si="75"/>
        <v>Valid</v>
      </c>
      <c r="Z471" t="str">
        <f t="shared" si="76"/>
        <v>Valid</v>
      </c>
      <c r="AA471" t="str">
        <f t="shared" si="77"/>
        <v>Valid</v>
      </c>
      <c r="AB471" s="9" t="str">
        <f t="shared" si="78"/>
        <v>Valid</v>
      </c>
      <c r="AC471" s="9" t="str">
        <f t="shared" si="79"/>
        <v>Valid</v>
      </c>
      <c r="AD471" s="9" t="str">
        <f>IF(AND(Y471="Valid",Z471="Valid",AA471="Valid",AB471="Valid",COUNTIF($A$2:A471,A471)=1),"Include","Exclude")</f>
        <v>Include</v>
      </c>
    </row>
    <row r="472" spans="1:30" x14ac:dyDescent="0.35">
      <c r="A472" t="s">
        <v>994</v>
      </c>
      <c r="B472" t="s">
        <v>995</v>
      </c>
      <c r="C472" t="s">
        <v>21</v>
      </c>
      <c r="D472">
        <v>28</v>
      </c>
      <c r="E472" t="s">
        <v>55</v>
      </c>
      <c r="F472" t="s">
        <v>48</v>
      </c>
      <c r="G472" t="s">
        <v>24</v>
      </c>
      <c r="H472" t="s">
        <v>70</v>
      </c>
      <c r="I472">
        <v>4</v>
      </c>
      <c r="J472">
        <v>48979</v>
      </c>
      <c r="K472" t="s">
        <v>35</v>
      </c>
      <c r="L472">
        <v>1</v>
      </c>
      <c r="M472">
        <v>41</v>
      </c>
      <c r="N472">
        <v>4</v>
      </c>
      <c r="O472" t="s">
        <v>27</v>
      </c>
      <c r="P472" t="s">
        <v>27</v>
      </c>
      <c r="Q472">
        <v>4</v>
      </c>
      <c r="R472" t="s">
        <v>27</v>
      </c>
      <c r="S472" t="s">
        <v>27</v>
      </c>
      <c r="T472" t="b">
        <f t="shared" si="70"/>
        <v>0</v>
      </c>
      <c r="U472" t="str">
        <f t="shared" si="71"/>
        <v>Employee_0471</v>
      </c>
      <c r="V472" t="str">
        <f t="shared" si="72"/>
        <v>Female</v>
      </c>
      <c r="W472" t="str">
        <f t="shared" si="73"/>
        <v>Customer Support</v>
      </c>
      <c r="X472" t="str">
        <f t="shared" si="74"/>
        <v>Bangalore</v>
      </c>
      <c r="Y472" t="str">
        <f t="shared" si="75"/>
        <v>Valid</v>
      </c>
      <c r="Z472" t="str">
        <f t="shared" si="76"/>
        <v>Valid</v>
      </c>
      <c r="AA472" t="str">
        <f t="shared" si="77"/>
        <v>Valid</v>
      </c>
      <c r="AB472" s="9" t="str">
        <f t="shared" si="78"/>
        <v>Valid</v>
      </c>
      <c r="AC472" s="9" t="str">
        <f t="shared" si="79"/>
        <v>Valid</v>
      </c>
      <c r="AD472" s="9" t="str">
        <f>IF(AND(Y472="Valid",Z472="Valid",AA472="Valid",AB472="Valid",COUNTIF($A$2:A472,A472)=1),"Include","Exclude")</f>
        <v>Include</v>
      </c>
    </row>
    <row r="473" spans="1:30" x14ac:dyDescent="0.35">
      <c r="A473" t="s">
        <v>996</v>
      </c>
      <c r="B473" t="s">
        <v>997</v>
      </c>
      <c r="C473" t="s">
        <v>31</v>
      </c>
      <c r="D473">
        <v>21</v>
      </c>
      <c r="E473" t="s">
        <v>55</v>
      </c>
      <c r="F473" t="s">
        <v>43</v>
      </c>
      <c r="G473" t="s">
        <v>24</v>
      </c>
      <c r="H473" t="s">
        <v>70</v>
      </c>
      <c r="I473">
        <v>0</v>
      </c>
      <c r="J473">
        <v>77362</v>
      </c>
      <c r="K473" t="s">
        <v>26</v>
      </c>
      <c r="L473">
        <v>4</v>
      </c>
      <c r="M473">
        <v>29</v>
      </c>
      <c r="N473">
        <v>6</v>
      </c>
      <c r="O473" t="s">
        <v>27</v>
      </c>
      <c r="P473" t="s">
        <v>28</v>
      </c>
      <c r="Q473">
        <v>1</v>
      </c>
      <c r="R473" t="s">
        <v>28</v>
      </c>
      <c r="S473" t="s">
        <v>27</v>
      </c>
      <c r="T473" t="b">
        <f t="shared" si="70"/>
        <v>0</v>
      </c>
      <c r="U473" t="str">
        <f t="shared" si="71"/>
        <v>Employee_0472</v>
      </c>
      <c r="V473" t="str">
        <f t="shared" si="72"/>
        <v>Male</v>
      </c>
      <c r="W473" t="str">
        <f t="shared" si="73"/>
        <v>It</v>
      </c>
      <c r="X473" t="str">
        <f t="shared" si="74"/>
        <v>Bangalore</v>
      </c>
      <c r="Y473" t="str">
        <f t="shared" si="75"/>
        <v>Valid</v>
      </c>
      <c r="Z473" t="str">
        <f t="shared" si="76"/>
        <v>Valid</v>
      </c>
      <c r="AA473" t="str">
        <f t="shared" si="77"/>
        <v>Valid</v>
      </c>
      <c r="AB473" s="9" t="str">
        <f t="shared" si="78"/>
        <v>Valid</v>
      </c>
      <c r="AC473" s="9" t="str">
        <f t="shared" si="79"/>
        <v>Valid</v>
      </c>
      <c r="AD473" s="9" t="str">
        <f>IF(AND(Y473="Valid",Z473="Valid",AA473="Valid",AB473="Valid",COUNTIF($A$2:A473,A473)=1),"Include","Exclude")</f>
        <v>Include</v>
      </c>
    </row>
    <row r="474" spans="1:30" x14ac:dyDescent="0.35">
      <c r="A474" t="s">
        <v>998</v>
      </c>
      <c r="B474" t="s">
        <v>999</v>
      </c>
      <c r="C474" t="s">
        <v>21</v>
      </c>
      <c r="D474">
        <v>25</v>
      </c>
      <c r="E474" t="s">
        <v>55</v>
      </c>
      <c r="F474" t="s">
        <v>64</v>
      </c>
      <c r="G474" t="s">
        <v>44</v>
      </c>
      <c r="H474" t="s">
        <v>131</v>
      </c>
      <c r="I474">
        <v>2</v>
      </c>
      <c r="J474">
        <v>54314</v>
      </c>
      <c r="K474" t="s">
        <v>35</v>
      </c>
      <c r="L474">
        <v>9</v>
      </c>
      <c r="M474">
        <v>49</v>
      </c>
      <c r="N474">
        <v>2</v>
      </c>
      <c r="O474" t="s">
        <v>28</v>
      </c>
      <c r="P474" t="s">
        <v>28</v>
      </c>
      <c r="Q474">
        <v>1</v>
      </c>
      <c r="R474" t="s">
        <v>28</v>
      </c>
      <c r="S474" t="s">
        <v>27</v>
      </c>
      <c r="T474" t="b">
        <f t="shared" si="70"/>
        <v>0</v>
      </c>
      <c r="U474" t="str">
        <f t="shared" si="71"/>
        <v>Employee_0473</v>
      </c>
      <c r="V474" t="str">
        <f t="shared" si="72"/>
        <v>Female</v>
      </c>
      <c r="W474" t="str">
        <f t="shared" si="73"/>
        <v>Marketing</v>
      </c>
      <c r="X474" t="str">
        <f t="shared" si="74"/>
        <v>Pune</v>
      </c>
      <c r="Y474" t="str">
        <f t="shared" si="75"/>
        <v>Valid</v>
      </c>
      <c r="Z474" t="str">
        <f t="shared" si="76"/>
        <v>Valid</v>
      </c>
      <c r="AA474" t="str">
        <f t="shared" si="77"/>
        <v>Valid</v>
      </c>
      <c r="AB474" s="9" t="str">
        <f t="shared" si="78"/>
        <v>Valid</v>
      </c>
      <c r="AC474" s="9" t="str">
        <f t="shared" si="79"/>
        <v>Valid</v>
      </c>
      <c r="AD474" s="9" t="str">
        <f>IF(AND(Y474="Valid",Z474="Valid",AA474="Valid",AB474="Valid",COUNTIF($A$2:A474,A474)=1),"Include","Exclude")</f>
        <v>Include</v>
      </c>
    </row>
    <row r="475" spans="1:30" x14ac:dyDescent="0.35">
      <c r="A475" t="s">
        <v>1000</v>
      </c>
      <c r="B475" t="s">
        <v>1001</v>
      </c>
      <c r="C475" t="s">
        <v>31</v>
      </c>
      <c r="D475">
        <v>55</v>
      </c>
      <c r="E475" t="s">
        <v>55</v>
      </c>
      <c r="F475" t="s">
        <v>48</v>
      </c>
      <c r="G475" t="s">
        <v>24</v>
      </c>
      <c r="H475" t="s">
        <v>61</v>
      </c>
      <c r="I475">
        <v>14</v>
      </c>
      <c r="J475">
        <v>54085</v>
      </c>
      <c r="K475" t="s">
        <v>45</v>
      </c>
      <c r="L475">
        <v>1</v>
      </c>
      <c r="M475">
        <v>21</v>
      </c>
      <c r="N475">
        <v>4</v>
      </c>
      <c r="O475" t="s">
        <v>28</v>
      </c>
      <c r="P475" t="s">
        <v>27</v>
      </c>
      <c r="Q475">
        <v>1</v>
      </c>
      <c r="R475" t="s">
        <v>27</v>
      </c>
      <c r="S475" t="s">
        <v>27</v>
      </c>
      <c r="T475" t="b">
        <f t="shared" si="70"/>
        <v>0</v>
      </c>
      <c r="U475" t="str">
        <f t="shared" si="71"/>
        <v>Employee_0474</v>
      </c>
      <c r="V475" t="str">
        <f t="shared" si="72"/>
        <v>Male</v>
      </c>
      <c r="W475" t="str">
        <f t="shared" si="73"/>
        <v>Customer Support</v>
      </c>
      <c r="X475" t="str">
        <f t="shared" si="74"/>
        <v>Noida</v>
      </c>
      <c r="Y475" t="str">
        <f t="shared" si="75"/>
        <v>Valid</v>
      </c>
      <c r="Z475" t="str">
        <f t="shared" si="76"/>
        <v>Valid</v>
      </c>
      <c r="AA475" t="str">
        <f t="shared" si="77"/>
        <v>Valid</v>
      </c>
      <c r="AB475" s="9" t="str">
        <f t="shared" si="78"/>
        <v>Valid</v>
      </c>
      <c r="AC475" s="9" t="str">
        <f t="shared" si="79"/>
        <v>Valid</v>
      </c>
      <c r="AD475" s="9" t="str">
        <f>IF(AND(Y475="Valid",Z475="Valid",AA475="Valid",AB475="Valid",COUNTIF($A$2:A475,A475)=1),"Include","Exclude")</f>
        <v>Include</v>
      </c>
    </row>
    <row r="476" spans="1:30" x14ac:dyDescent="0.35">
      <c r="A476" t="s">
        <v>1002</v>
      </c>
      <c r="B476" t="s">
        <v>1003</v>
      </c>
      <c r="C476" t="s">
        <v>21</v>
      </c>
      <c r="D476">
        <v>38</v>
      </c>
      <c r="E476" t="s">
        <v>55</v>
      </c>
      <c r="F476" t="s">
        <v>48</v>
      </c>
      <c r="G476" t="s">
        <v>24</v>
      </c>
      <c r="H476" t="s">
        <v>49</v>
      </c>
      <c r="I476">
        <v>11</v>
      </c>
      <c r="J476">
        <v>55642</v>
      </c>
      <c r="K476" t="s">
        <v>45</v>
      </c>
      <c r="L476">
        <v>1</v>
      </c>
      <c r="M476">
        <v>28</v>
      </c>
      <c r="N476">
        <v>3</v>
      </c>
      <c r="O476" t="s">
        <v>27</v>
      </c>
      <c r="P476" t="s">
        <v>28</v>
      </c>
      <c r="Q476">
        <v>4</v>
      </c>
      <c r="R476" t="s">
        <v>27</v>
      </c>
      <c r="S476" t="s">
        <v>27</v>
      </c>
      <c r="T476" t="b">
        <f t="shared" si="70"/>
        <v>0</v>
      </c>
      <c r="U476" t="str">
        <f t="shared" si="71"/>
        <v>Employee_0475</v>
      </c>
      <c r="V476" t="str">
        <f t="shared" si="72"/>
        <v>Female</v>
      </c>
      <c r="W476" t="str">
        <f t="shared" si="73"/>
        <v>Customer Support</v>
      </c>
      <c r="X476" t="str">
        <f t="shared" si="74"/>
        <v>Delhi</v>
      </c>
      <c r="Y476" t="str">
        <f t="shared" si="75"/>
        <v>Valid</v>
      </c>
      <c r="Z476" t="str">
        <f t="shared" si="76"/>
        <v>Valid</v>
      </c>
      <c r="AA476" t="str">
        <f t="shared" si="77"/>
        <v>Valid</v>
      </c>
      <c r="AB476" s="9" t="str">
        <f t="shared" si="78"/>
        <v>Valid</v>
      </c>
      <c r="AC476" s="9" t="str">
        <f t="shared" si="79"/>
        <v>Valid</v>
      </c>
      <c r="AD476" s="9" t="str">
        <f>IF(AND(Y476="Valid",Z476="Valid",AA476="Valid",AB476="Valid",COUNTIF($A$2:A476,A476)=1),"Include","Exclude")</f>
        <v>Include</v>
      </c>
    </row>
    <row r="477" spans="1:30" x14ac:dyDescent="0.35">
      <c r="A477" t="s">
        <v>1004</v>
      </c>
      <c r="B477" t="s">
        <v>1005</v>
      </c>
      <c r="C477" t="s">
        <v>31</v>
      </c>
      <c r="D477">
        <v>54</v>
      </c>
      <c r="E477" t="s">
        <v>55</v>
      </c>
      <c r="F477" t="s">
        <v>39</v>
      </c>
      <c r="G477" t="s">
        <v>24</v>
      </c>
      <c r="H477" t="s">
        <v>25</v>
      </c>
      <c r="I477">
        <v>12</v>
      </c>
      <c r="J477">
        <v>62345</v>
      </c>
      <c r="K477" t="s">
        <v>35</v>
      </c>
      <c r="L477">
        <v>1</v>
      </c>
      <c r="M477">
        <v>40</v>
      </c>
      <c r="N477">
        <v>4</v>
      </c>
      <c r="O477" t="s">
        <v>28</v>
      </c>
      <c r="P477" t="s">
        <v>27</v>
      </c>
      <c r="Q477">
        <v>5</v>
      </c>
      <c r="R477" t="s">
        <v>27</v>
      </c>
      <c r="S477" t="s">
        <v>27</v>
      </c>
      <c r="T477" t="b">
        <f t="shared" si="70"/>
        <v>0</v>
      </c>
      <c r="U477" t="str">
        <f t="shared" si="71"/>
        <v>Employee_0476</v>
      </c>
      <c r="V477" t="str">
        <f t="shared" si="72"/>
        <v>Male</v>
      </c>
      <c r="W477" t="str">
        <f t="shared" si="73"/>
        <v>Operations</v>
      </c>
      <c r="X477" t="str">
        <f t="shared" si="74"/>
        <v>Hyderabad</v>
      </c>
      <c r="Y477" t="str">
        <f t="shared" si="75"/>
        <v>Valid</v>
      </c>
      <c r="Z477" t="str">
        <f t="shared" si="76"/>
        <v>Valid</v>
      </c>
      <c r="AA477" t="str">
        <f t="shared" si="77"/>
        <v>Valid</v>
      </c>
      <c r="AB477" s="9" t="str">
        <f t="shared" si="78"/>
        <v>Valid</v>
      </c>
      <c r="AC477" s="9" t="str">
        <f t="shared" si="79"/>
        <v>Valid</v>
      </c>
      <c r="AD477" s="9" t="str">
        <f>IF(AND(Y477="Valid",Z477="Valid",AA477="Valid",AB477="Valid",COUNTIF($A$2:A477,A477)=1),"Include","Exclude")</f>
        <v>Include</v>
      </c>
    </row>
    <row r="478" spans="1:30" x14ac:dyDescent="0.35">
      <c r="A478" t="s">
        <v>1006</v>
      </c>
      <c r="B478" t="s">
        <v>1007</v>
      </c>
      <c r="C478" t="s">
        <v>21</v>
      </c>
      <c r="D478">
        <v>42</v>
      </c>
      <c r="E478" t="s">
        <v>55</v>
      </c>
      <c r="F478" t="s">
        <v>33</v>
      </c>
      <c r="G478" t="s">
        <v>24</v>
      </c>
      <c r="H478" t="s">
        <v>131</v>
      </c>
      <c r="I478">
        <v>10</v>
      </c>
      <c r="J478">
        <v>60760</v>
      </c>
      <c r="K478" t="s">
        <v>45</v>
      </c>
      <c r="L478">
        <v>3</v>
      </c>
      <c r="M478">
        <v>25</v>
      </c>
      <c r="N478">
        <v>5</v>
      </c>
      <c r="O478" t="s">
        <v>27</v>
      </c>
      <c r="P478" t="s">
        <v>27</v>
      </c>
      <c r="Q478">
        <v>5</v>
      </c>
      <c r="R478" t="s">
        <v>27</v>
      </c>
      <c r="S478" t="s">
        <v>27</v>
      </c>
      <c r="T478" t="b">
        <f t="shared" si="70"/>
        <v>0</v>
      </c>
      <c r="U478" t="str">
        <f t="shared" si="71"/>
        <v>Employee_0477</v>
      </c>
      <c r="V478" t="str">
        <f t="shared" si="72"/>
        <v>Female</v>
      </c>
      <c r="W478" t="str">
        <f t="shared" si="73"/>
        <v>Sales</v>
      </c>
      <c r="X478" t="str">
        <f t="shared" si="74"/>
        <v>Pune</v>
      </c>
      <c r="Y478" t="str">
        <f t="shared" si="75"/>
        <v>Valid</v>
      </c>
      <c r="Z478" t="str">
        <f t="shared" si="76"/>
        <v>Valid</v>
      </c>
      <c r="AA478" t="str">
        <f t="shared" si="77"/>
        <v>Valid</v>
      </c>
      <c r="AB478" s="9" t="str">
        <f t="shared" si="78"/>
        <v>Valid</v>
      </c>
      <c r="AC478" s="9" t="str">
        <f t="shared" si="79"/>
        <v>Valid</v>
      </c>
      <c r="AD478" s="9" t="str">
        <f>IF(AND(Y478="Valid",Z478="Valid",AA478="Valid",AB478="Valid",COUNTIF($A$2:A478,A478)=1),"Include","Exclude")</f>
        <v>Include</v>
      </c>
    </row>
    <row r="479" spans="1:30" x14ac:dyDescent="0.35">
      <c r="A479" t="s">
        <v>1008</v>
      </c>
      <c r="B479" t="s">
        <v>1009</v>
      </c>
      <c r="C479" t="s">
        <v>31</v>
      </c>
      <c r="D479">
        <v>40</v>
      </c>
      <c r="E479" t="s">
        <v>55</v>
      </c>
      <c r="F479" t="s">
        <v>64</v>
      </c>
      <c r="G479" t="s">
        <v>69</v>
      </c>
      <c r="H479" t="s">
        <v>49</v>
      </c>
      <c r="I479">
        <v>8</v>
      </c>
      <c r="J479">
        <v>61395</v>
      </c>
      <c r="K479" t="s">
        <v>35</v>
      </c>
      <c r="L479">
        <v>1</v>
      </c>
      <c r="M479">
        <v>42</v>
      </c>
      <c r="N479">
        <v>4</v>
      </c>
      <c r="O479" t="s">
        <v>27</v>
      </c>
      <c r="P479" t="s">
        <v>28</v>
      </c>
      <c r="Q479">
        <v>5</v>
      </c>
      <c r="R479" t="s">
        <v>27</v>
      </c>
      <c r="S479" t="s">
        <v>27</v>
      </c>
      <c r="T479" t="b">
        <f t="shared" si="70"/>
        <v>0</v>
      </c>
      <c r="U479" t="str">
        <f t="shared" si="71"/>
        <v>Employee_0478</v>
      </c>
      <c r="V479" t="str">
        <f t="shared" si="72"/>
        <v>Male</v>
      </c>
      <c r="W479" t="str">
        <f t="shared" si="73"/>
        <v>Marketing</v>
      </c>
      <c r="X479" t="str">
        <f t="shared" si="74"/>
        <v>Delhi</v>
      </c>
      <c r="Y479" t="str">
        <f t="shared" si="75"/>
        <v>Valid</v>
      </c>
      <c r="Z479" t="str">
        <f t="shared" si="76"/>
        <v>Valid</v>
      </c>
      <c r="AA479" t="str">
        <f t="shared" si="77"/>
        <v>Valid</v>
      </c>
      <c r="AB479" s="9" t="str">
        <f t="shared" si="78"/>
        <v>Valid</v>
      </c>
      <c r="AC479" s="9" t="str">
        <f t="shared" si="79"/>
        <v>Valid</v>
      </c>
      <c r="AD479" s="9" t="str">
        <f>IF(AND(Y479="Valid",Z479="Valid",AA479="Valid",AB479="Valid",COUNTIF($A$2:A479,A479)=1),"Include","Exclude")</f>
        <v>Include</v>
      </c>
    </row>
    <row r="480" spans="1:30" x14ac:dyDescent="0.35">
      <c r="A480" t="s">
        <v>1010</v>
      </c>
      <c r="B480" t="s">
        <v>1011</v>
      </c>
      <c r="C480" t="s">
        <v>31</v>
      </c>
      <c r="D480">
        <v>49</v>
      </c>
      <c r="E480" t="s">
        <v>38</v>
      </c>
      <c r="F480" t="s">
        <v>33</v>
      </c>
      <c r="G480" t="s">
        <v>24</v>
      </c>
      <c r="H480" t="s">
        <v>52</v>
      </c>
      <c r="I480">
        <v>15</v>
      </c>
      <c r="J480">
        <v>63681</v>
      </c>
      <c r="K480" t="s">
        <v>26</v>
      </c>
      <c r="L480">
        <v>3</v>
      </c>
      <c r="M480">
        <v>20</v>
      </c>
      <c r="N480">
        <v>3</v>
      </c>
      <c r="O480" t="s">
        <v>28</v>
      </c>
      <c r="P480" t="s">
        <v>28</v>
      </c>
      <c r="Q480">
        <v>2</v>
      </c>
      <c r="R480" t="s">
        <v>28</v>
      </c>
      <c r="S480" t="s">
        <v>27</v>
      </c>
      <c r="T480" t="b">
        <f t="shared" si="70"/>
        <v>0</v>
      </c>
      <c r="U480" t="str">
        <f t="shared" si="71"/>
        <v>Employee_0479</v>
      </c>
      <c r="V480" t="str">
        <f t="shared" si="72"/>
        <v>Male</v>
      </c>
      <c r="W480" t="str">
        <f t="shared" si="73"/>
        <v>Sales</v>
      </c>
      <c r="X480" t="str">
        <f t="shared" si="74"/>
        <v>Mumbai</v>
      </c>
      <c r="Y480" t="str">
        <f t="shared" si="75"/>
        <v>Valid</v>
      </c>
      <c r="Z480" t="str">
        <f t="shared" si="76"/>
        <v>Valid</v>
      </c>
      <c r="AA480" t="str">
        <f t="shared" si="77"/>
        <v>Valid</v>
      </c>
      <c r="AB480" s="9" t="str">
        <f t="shared" si="78"/>
        <v>Valid</v>
      </c>
      <c r="AC480" s="9" t="str">
        <f t="shared" si="79"/>
        <v>Valid</v>
      </c>
      <c r="AD480" s="9" t="str">
        <f>IF(AND(Y480="Valid",Z480="Valid",AA480="Valid",AB480="Valid",COUNTIF($A$2:A480,A480)=1),"Include","Exclude")</f>
        <v>Include</v>
      </c>
    </row>
    <row r="481" spans="1:30" x14ac:dyDescent="0.35">
      <c r="A481" t="s">
        <v>1012</v>
      </c>
      <c r="B481" t="s">
        <v>1013</v>
      </c>
      <c r="C481" t="s">
        <v>21</v>
      </c>
      <c r="D481">
        <v>55</v>
      </c>
      <c r="E481" t="s">
        <v>32</v>
      </c>
      <c r="F481" t="s">
        <v>33</v>
      </c>
      <c r="G481" t="s">
        <v>44</v>
      </c>
      <c r="H481" t="s">
        <v>25</v>
      </c>
      <c r="I481">
        <v>17</v>
      </c>
      <c r="J481">
        <v>61451</v>
      </c>
      <c r="K481" t="s">
        <v>26</v>
      </c>
      <c r="L481">
        <v>5</v>
      </c>
      <c r="M481">
        <v>28</v>
      </c>
      <c r="N481">
        <v>2</v>
      </c>
      <c r="O481" t="s">
        <v>28</v>
      </c>
      <c r="P481" t="s">
        <v>28</v>
      </c>
      <c r="Q481">
        <v>4</v>
      </c>
      <c r="R481" t="s">
        <v>27</v>
      </c>
      <c r="S481" t="s">
        <v>27</v>
      </c>
      <c r="T481" t="b">
        <f t="shared" si="70"/>
        <v>0</v>
      </c>
      <c r="U481" t="str">
        <f t="shared" si="71"/>
        <v>Employee_0480</v>
      </c>
      <c r="V481" t="str">
        <f t="shared" si="72"/>
        <v>Female</v>
      </c>
      <c r="W481" t="str">
        <f t="shared" si="73"/>
        <v>Sales</v>
      </c>
      <c r="X481" t="str">
        <f t="shared" si="74"/>
        <v>Hyderabad</v>
      </c>
      <c r="Y481" t="str">
        <f t="shared" si="75"/>
        <v>Valid</v>
      </c>
      <c r="Z481" t="str">
        <f t="shared" si="76"/>
        <v>Valid</v>
      </c>
      <c r="AA481" t="str">
        <f t="shared" si="77"/>
        <v>Valid</v>
      </c>
      <c r="AB481" s="9" t="str">
        <f t="shared" si="78"/>
        <v>Valid</v>
      </c>
      <c r="AC481" s="9" t="str">
        <f t="shared" si="79"/>
        <v>Valid</v>
      </c>
      <c r="AD481" s="9" t="str">
        <f>IF(AND(Y481="Valid",Z481="Valid",AA481="Valid",AB481="Valid",COUNTIF($A$2:A481,A481)=1),"Include","Exclude")</f>
        <v>Include</v>
      </c>
    </row>
    <row r="482" spans="1:30" x14ac:dyDescent="0.35">
      <c r="A482" t="s">
        <v>1014</v>
      </c>
      <c r="B482" t="s">
        <v>1015</v>
      </c>
      <c r="C482" t="s">
        <v>21</v>
      </c>
      <c r="D482">
        <v>24</v>
      </c>
      <c r="E482" t="s">
        <v>22</v>
      </c>
      <c r="F482" t="s">
        <v>33</v>
      </c>
      <c r="G482" t="s">
        <v>24</v>
      </c>
      <c r="H482" t="s">
        <v>61</v>
      </c>
      <c r="I482">
        <v>2</v>
      </c>
      <c r="J482">
        <v>46959</v>
      </c>
      <c r="K482" t="s">
        <v>26</v>
      </c>
      <c r="L482">
        <v>2</v>
      </c>
      <c r="M482">
        <v>11</v>
      </c>
      <c r="N482">
        <v>2</v>
      </c>
      <c r="O482" t="s">
        <v>27</v>
      </c>
      <c r="P482" t="s">
        <v>28</v>
      </c>
      <c r="Q482">
        <v>2</v>
      </c>
      <c r="R482" t="s">
        <v>27</v>
      </c>
      <c r="S482" t="s">
        <v>27</v>
      </c>
      <c r="T482" t="b">
        <f t="shared" si="70"/>
        <v>0</v>
      </c>
      <c r="U482" t="str">
        <f t="shared" si="71"/>
        <v>Employee_0481</v>
      </c>
      <c r="V482" t="str">
        <f t="shared" si="72"/>
        <v>Female</v>
      </c>
      <c r="W482" t="str">
        <f t="shared" si="73"/>
        <v>Sales</v>
      </c>
      <c r="X482" t="str">
        <f t="shared" si="74"/>
        <v>Noida</v>
      </c>
      <c r="Y482" t="str">
        <f t="shared" si="75"/>
        <v>Valid</v>
      </c>
      <c r="Z482" t="str">
        <f t="shared" si="76"/>
        <v>Valid</v>
      </c>
      <c r="AA482" t="str">
        <f t="shared" si="77"/>
        <v>Valid</v>
      </c>
      <c r="AB482" s="9" t="str">
        <f t="shared" si="78"/>
        <v>Valid</v>
      </c>
      <c r="AC482" s="9" t="str">
        <f t="shared" si="79"/>
        <v>Valid</v>
      </c>
      <c r="AD482" s="9" t="str">
        <f>IF(AND(Y482="Valid",Z482="Valid",AA482="Valid",AB482="Valid",COUNTIF($A$2:A482,A482)=1),"Include","Exclude")</f>
        <v>Include</v>
      </c>
    </row>
    <row r="483" spans="1:30" x14ac:dyDescent="0.35">
      <c r="A483" t="s">
        <v>1016</v>
      </c>
      <c r="B483" t="s">
        <v>1017</v>
      </c>
      <c r="C483" t="s">
        <v>21</v>
      </c>
      <c r="D483">
        <v>35</v>
      </c>
      <c r="E483" t="s">
        <v>38</v>
      </c>
      <c r="F483" t="s">
        <v>60</v>
      </c>
      <c r="G483" t="s">
        <v>24</v>
      </c>
      <c r="H483" t="s">
        <v>25</v>
      </c>
      <c r="I483">
        <v>9</v>
      </c>
      <c r="J483">
        <v>60160</v>
      </c>
      <c r="K483" t="s">
        <v>35</v>
      </c>
      <c r="L483">
        <v>9</v>
      </c>
      <c r="M483">
        <v>33</v>
      </c>
      <c r="N483">
        <v>6</v>
      </c>
      <c r="O483" t="s">
        <v>28</v>
      </c>
      <c r="P483" t="s">
        <v>28</v>
      </c>
      <c r="Q483">
        <v>3</v>
      </c>
      <c r="R483" t="s">
        <v>28</v>
      </c>
      <c r="S483" t="s">
        <v>27</v>
      </c>
      <c r="T483" t="b">
        <f t="shared" si="70"/>
        <v>0</v>
      </c>
      <c r="U483" t="str">
        <f t="shared" si="71"/>
        <v>Employee_0482</v>
      </c>
      <c r="V483" t="str">
        <f t="shared" si="72"/>
        <v>Female</v>
      </c>
      <c r="W483" t="str">
        <f t="shared" si="73"/>
        <v>Hr</v>
      </c>
      <c r="X483" t="str">
        <f t="shared" si="74"/>
        <v>Hyderabad</v>
      </c>
      <c r="Y483" t="str">
        <f t="shared" si="75"/>
        <v>Valid</v>
      </c>
      <c r="Z483" t="str">
        <f t="shared" si="76"/>
        <v>Valid</v>
      </c>
      <c r="AA483" t="str">
        <f t="shared" si="77"/>
        <v>Valid</v>
      </c>
      <c r="AB483" s="9" t="str">
        <f t="shared" si="78"/>
        <v>Valid</v>
      </c>
      <c r="AC483" s="9" t="str">
        <f t="shared" si="79"/>
        <v>Valid</v>
      </c>
      <c r="AD483" s="9" t="str">
        <f>IF(AND(Y483="Valid",Z483="Valid",AA483="Valid",AB483="Valid",COUNTIF($A$2:A483,A483)=1),"Include","Exclude")</f>
        <v>Include</v>
      </c>
    </row>
    <row r="484" spans="1:30" x14ac:dyDescent="0.35">
      <c r="A484" t="s">
        <v>1018</v>
      </c>
      <c r="B484" t="s">
        <v>1019</v>
      </c>
      <c r="C484" t="s">
        <v>21</v>
      </c>
      <c r="D484">
        <v>24</v>
      </c>
      <c r="E484" t="s">
        <v>55</v>
      </c>
      <c r="F484" t="s">
        <v>43</v>
      </c>
      <c r="G484" t="s">
        <v>69</v>
      </c>
      <c r="H484" t="s">
        <v>52</v>
      </c>
      <c r="I484">
        <v>2</v>
      </c>
      <c r="J484">
        <v>71532</v>
      </c>
      <c r="K484" t="s">
        <v>35</v>
      </c>
      <c r="L484">
        <v>8</v>
      </c>
      <c r="M484">
        <v>33</v>
      </c>
      <c r="N484">
        <v>3</v>
      </c>
      <c r="O484" t="s">
        <v>27</v>
      </c>
      <c r="P484" t="s">
        <v>28</v>
      </c>
      <c r="Q484">
        <v>4</v>
      </c>
      <c r="R484" t="s">
        <v>27</v>
      </c>
      <c r="S484" t="s">
        <v>27</v>
      </c>
      <c r="T484" t="b">
        <f t="shared" si="70"/>
        <v>0</v>
      </c>
      <c r="U484" t="str">
        <f t="shared" si="71"/>
        <v>Employee_0483</v>
      </c>
      <c r="V484" t="str">
        <f t="shared" si="72"/>
        <v>Female</v>
      </c>
      <c r="W484" t="str">
        <f t="shared" si="73"/>
        <v>It</v>
      </c>
      <c r="X484" t="str">
        <f t="shared" si="74"/>
        <v>Mumbai</v>
      </c>
      <c r="Y484" t="str">
        <f t="shared" si="75"/>
        <v>Valid</v>
      </c>
      <c r="Z484" t="str">
        <f t="shared" si="76"/>
        <v>Valid</v>
      </c>
      <c r="AA484" t="str">
        <f t="shared" si="77"/>
        <v>Valid</v>
      </c>
      <c r="AB484" s="9" t="str">
        <f t="shared" si="78"/>
        <v>Valid</v>
      </c>
      <c r="AC484" s="9" t="str">
        <f t="shared" si="79"/>
        <v>Valid</v>
      </c>
      <c r="AD484" s="9" t="str">
        <f>IF(AND(Y484="Valid",Z484="Valid",AA484="Valid",AB484="Valid",COUNTIF($A$2:A484,A484)=1),"Include","Exclude")</f>
        <v>Include</v>
      </c>
    </row>
    <row r="485" spans="1:30" x14ac:dyDescent="0.35">
      <c r="A485" t="s">
        <v>1020</v>
      </c>
      <c r="B485" t="s">
        <v>1021</v>
      </c>
      <c r="C485" t="s">
        <v>31</v>
      </c>
      <c r="D485">
        <v>42</v>
      </c>
      <c r="E485" t="s">
        <v>55</v>
      </c>
      <c r="F485" t="s">
        <v>48</v>
      </c>
      <c r="G485" t="s">
        <v>24</v>
      </c>
      <c r="H485" t="s">
        <v>61</v>
      </c>
      <c r="I485">
        <v>9</v>
      </c>
      <c r="J485">
        <v>42438</v>
      </c>
      <c r="K485" t="s">
        <v>26</v>
      </c>
      <c r="L485">
        <v>10</v>
      </c>
      <c r="M485">
        <v>45</v>
      </c>
      <c r="N485">
        <v>5</v>
      </c>
      <c r="O485" t="s">
        <v>27</v>
      </c>
      <c r="P485" t="s">
        <v>28</v>
      </c>
      <c r="Q485">
        <v>3</v>
      </c>
      <c r="R485" t="s">
        <v>27</v>
      </c>
      <c r="S485" t="s">
        <v>27</v>
      </c>
      <c r="T485" t="b">
        <f t="shared" si="70"/>
        <v>0</v>
      </c>
      <c r="U485" t="str">
        <f t="shared" si="71"/>
        <v>Employee_0484</v>
      </c>
      <c r="V485" t="str">
        <f t="shared" si="72"/>
        <v>Male</v>
      </c>
      <c r="W485" t="str">
        <f t="shared" si="73"/>
        <v>Customer Support</v>
      </c>
      <c r="X485" t="str">
        <f t="shared" si="74"/>
        <v>Noida</v>
      </c>
      <c r="Y485" t="str">
        <f t="shared" si="75"/>
        <v>Valid</v>
      </c>
      <c r="Z485" t="str">
        <f t="shared" si="76"/>
        <v>Valid</v>
      </c>
      <c r="AA485" t="str">
        <f t="shared" si="77"/>
        <v>Valid</v>
      </c>
      <c r="AB485" s="9" t="str">
        <f t="shared" si="78"/>
        <v>Valid</v>
      </c>
      <c r="AC485" s="9" t="str">
        <f t="shared" si="79"/>
        <v>Valid</v>
      </c>
      <c r="AD485" s="9" t="str">
        <f>IF(AND(Y485="Valid",Z485="Valid",AA485="Valid",AB485="Valid",COUNTIF($A$2:A485,A485)=1),"Include","Exclude")</f>
        <v>Include</v>
      </c>
    </row>
    <row r="486" spans="1:30" x14ac:dyDescent="0.35">
      <c r="A486" t="s">
        <v>1022</v>
      </c>
      <c r="B486" t="s">
        <v>1023</v>
      </c>
      <c r="C486" t="s">
        <v>21</v>
      </c>
      <c r="D486">
        <v>30</v>
      </c>
      <c r="E486" t="s">
        <v>38</v>
      </c>
      <c r="F486" t="s">
        <v>43</v>
      </c>
      <c r="G486" t="s">
        <v>69</v>
      </c>
      <c r="H486" t="s">
        <v>131</v>
      </c>
      <c r="I486">
        <v>6</v>
      </c>
      <c r="J486">
        <v>68186</v>
      </c>
      <c r="K486" t="s">
        <v>40</v>
      </c>
      <c r="L486">
        <v>2</v>
      </c>
      <c r="M486">
        <v>29</v>
      </c>
      <c r="N486">
        <v>3</v>
      </c>
      <c r="O486" t="s">
        <v>27</v>
      </c>
      <c r="P486" t="s">
        <v>27</v>
      </c>
      <c r="Q486">
        <v>1</v>
      </c>
      <c r="R486" t="s">
        <v>27</v>
      </c>
      <c r="S486" t="s">
        <v>27</v>
      </c>
      <c r="T486" t="b">
        <f t="shared" si="70"/>
        <v>0</v>
      </c>
      <c r="U486" t="str">
        <f t="shared" si="71"/>
        <v>Employee_0485</v>
      </c>
      <c r="V486" t="str">
        <f t="shared" si="72"/>
        <v>Female</v>
      </c>
      <c r="W486" t="str">
        <f t="shared" si="73"/>
        <v>It</v>
      </c>
      <c r="X486" t="str">
        <f t="shared" si="74"/>
        <v>Pune</v>
      </c>
      <c r="Y486" t="str">
        <f t="shared" si="75"/>
        <v>Valid</v>
      </c>
      <c r="Z486" t="str">
        <f t="shared" si="76"/>
        <v>Valid</v>
      </c>
      <c r="AA486" t="str">
        <f t="shared" si="77"/>
        <v>Valid</v>
      </c>
      <c r="AB486" s="9" t="str">
        <f t="shared" si="78"/>
        <v>Valid</v>
      </c>
      <c r="AC486" s="9" t="str">
        <f t="shared" si="79"/>
        <v>Valid</v>
      </c>
      <c r="AD486" s="9" t="str">
        <f>IF(AND(Y486="Valid",Z486="Valid",AA486="Valid",AB486="Valid",COUNTIF($A$2:A486,A486)=1),"Include","Exclude")</f>
        <v>Include</v>
      </c>
    </row>
    <row r="487" spans="1:30" x14ac:dyDescent="0.35">
      <c r="A487" t="s">
        <v>1024</v>
      </c>
      <c r="B487" t="s">
        <v>1025</v>
      </c>
      <c r="C487" t="s">
        <v>21</v>
      </c>
      <c r="D487">
        <v>42</v>
      </c>
      <c r="E487" t="s">
        <v>32</v>
      </c>
      <c r="F487" t="s">
        <v>39</v>
      </c>
      <c r="G487" t="s">
        <v>24</v>
      </c>
      <c r="H487" t="s">
        <v>131</v>
      </c>
      <c r="I487">
        <v>13</v>
      </c>
      <c r="J487">
        <v>62514</v>
      </c>
      <c r="K487" t="s">
        <v>35</v>
      </c>
      <c r="L487">
        <v>6</v>
      </c>
      <c r="M487">
        <v>35</v>
      </c>
      <c r="N487">
        <v>4</v>
      </c>
      <c r="O487" t="s">
        <v>27</v>
      </c>
      <c r="P487" t="s">
        <v>28</v>
      </c>
      <c r="Q487">
        <v>5</v>
      </c>
      <c r="R487" t="s">
        <v>28</v>
      </c>
      <c r="S487" t="s">
        <v>27</v>
      </c>
      <c r="T487" t="b">
        <f t="shared" si="70"/>
        <v>0</v>
      </c>
      <c r="U487" t="str">
        <f t="shared" si="71"/>
        <v>Employee_0486</v>
      </c>
      <c r="V487" t="str">
        <f t="shared" si="72"/>
        <v>Female</v>
      </c>
      <c r="W487" t="str">
        <f t="shared" si="73"/>
        <v>Operations</v>
      </c>
      <c r="X487" t="str">
        <f t="shared" si="74"/>
        <v>Pune</v>
      </c>
      <c r="Y487" t="str">
        <f t="shared" si="75"/>
        <v>Valid</v>
      </c>
      <c r="Z487" t="str">
        <f t="shared" si="76"/>
        <v>Valid</v>
      </c>
      <c r="AA487" t="str">
        <f t="shared" si="77"/>
        <v>Valid</v>
      </c>
      <c r="AB487" s="9" t="str">
        <f t="shared" si="78"/>
        <v>Valid</v>
      </c>
      <c r="AC487" s="9" t="str">
        <f t="shared" si="79"/>
        <v>Valid</v>
      </c>
      <c r="AD487" s="9" t="str">
        <f>IF(AND(Y487="Valid",Z487="Valid",AA487="Valid",AB487="Valid",COUNTIF($A$2:A487,A487)=1),"Include","Exclude")</f>
        <v>Include</v>
      </c>
    </row>
    <row r="488" spans="1:30" x14ac:dyDescent="0.35">
      <c r="A488" t="s">
        <v>1026</v>
      </c>
      <c r="B488" t="s">
        <v>1027</v>
      </c>
      <c r="C488" t="s">
        <v>21</v>
      </c>
      <c r="D488">
        <v>28</v>
      </c>
      <c r="E488" t="s">
        <v>55</v>
      </c>
      <c r="F488" t="s">
        <v>33</v>
      </c>
      <c r="G488" t="s">
        <v>69</v>
      </c>
      <c r="H488" t="s">
        <v>25</v>
      </c>
      <c r="I488">
        <v>4</v>
      </c>
      <c r="J488">
        <v>61028</v>
      </c>
      <c r="K488" t="s">
        <v>45</v>
      </c>
      <c r="L488">
        <v>3</v>
      </c>
      <c r="M488">
        <v>38</v>
      </c>
      <c r="N488">
        <v>6</v>
      </c>
      <c r="O488" t="s">
        <v>27</v>
      </c>
      <c r="P488" t="s">
        <v>27</v>
      </c>
      <c r="Q488">
        <v>1</v>
      </c>
      <c r="R488" t="s">
        <v>27</v>
      </c>
      <c r="S488" t="s">
        <v>27</v>
      </c>
      <c r="T488" t="b">
        <f t="shared" si="70"/>
        <v>0</v>
      </c>
      <c r="U488" t="str">
        <f t="shared" si="71"/>
        <v>Employee_0487</v>
      </c>
      <c r="V488" t="str">
        <f t="shared" si="72"/>
        <v>Female</v>
      </c>
      <c r="W488" t="str">
        <f t="shared" si="73"/>
        <v>Sales</v>
      </c>
      <c r="X488" t="str">
        <f t="shared" si="74"/>
        <v>Hyderabad</v>
      </c>
      <c r="Y488" t="str">
        <f t="shared" si="75"/>
        <v>Valid</v>
      </c>
      <c r="Z488" t="str">
        <f t="shared" si="76"/>
        <v>Valid</v>
      </c>
      <c r="AA488" t="str">
        <f t="shared" si="77"/>
        <v>Valid</v>
      </c>
      <c r="AB488" s="9" t="str">
        <f t="shared" si="78"/>
        <v>Valid</v>
      </c>
      <c r="AC488" s="9" t="str">
        <f t="shared" si="79"/>
        <v>Valid</v>
      </c>
      <c r="AD488" s="9" t="str">
        <f>IF(AND(Y488="Valid",Z488="Valid",AA488="Valid",AB488="Valid",COUNTIF($A$2:A488,A488)=1),"Include","Exclude")</f>
        <v>Include</v>
      </c>
    </row>
    <row r="489" spans="1:30" x14ac:dyDescent="0.35">
      <c r="A489" t="s">
        <v>1028</v>
      </c>
      <c r="B489" t="s">
        <v>1029</v>
      </c>
      <c r="C489" t="s">
        <v>31</v>
      </c>
      <c r="D489">
        <v>25</v>
      </c>
      <c r="E489" t="s">
        <v>55</v>
      </c>
      <c r="F489" t="s">
        <v>64</v>
      </c>
      <c r="G489" t="s">
        <v>24</v>
      </c>
      <c r="H489" t="s">
        <v>61</v>
      </c>
      <c r="I489">
        <v>2</v>
      </c>
      <c r="J489">
        <v>62573</v>
      </c>
      <c r="K489" t="s">
        <v>45</v>
      </c>
      <c r="L489">
        <v>7</v>
      </c>
      <c r="M489">
        <v>42</v>
      </c>
      <c r="N489">
        <v>7</v>
      </c>
      <c r="O489" t="s">
        <v>28</v>
      </c>
      <c r="P489" t="s">
        <v>28</v>
      </c>
      <c r="Q489">
        <v>3</v>
      </c>
      <c r="R489" t="s">
        <v>28</v>
      </c>
      <c r="S489" t="s">
        <v>28</v>
      </c>
      <c r="T489" t="b">
        <f t="shared" si="70"/>
        <v>0</v>
      </c>
      <c r="U489" t="str">
        <f t="shared" si="71"/>
        <v>Employee_0488</v>
      </c>
      <c r="V489" t="str">
        <f t="shared" si="72"/>
        <v>Male</v>
      </c>
      <c r="W489" t="str">
        <f t="shared" si="73"/>
        <v>Marketing</v>
      </c>
      <c r="X489" t="str">
        <f t="shared" si="74"/>
        <v>Noida</v>
      </c>
      <c r="Y489" t="str">
        <f t="shared" si="75"/>
        <v>Valid</v>
      </c>
      <c r="Z489" t="str">
        <f t="shared" si="76"/>
        <v>Valid</v>
      </c>
      <c r="AA489" t="str">
        <f t="shared" si="77"/>
        <v>Valid</v>
      </c>
      <c r="AB489" s="9" t="str">
        <f t="shared" si="78"/>
        <v>Valid</v>
      </c>
      <c r="AC489" s="9" t="str">
        <f t="shared" si="79"/>
        <v>Valid</v>
      </c>
      <c r="AD489" s="9" t="str">
        <f>IF(AND(Y489="Valid",Z489="Valid",AA489="Valid",AB489="Valid",COUNTIF($A$2:A489,A489)=1),"Include","Exclude")</f>
        <v>Include</v>
      </c>
    </row>
    <row r="490" spans="1:30" x14ac:dyDescent="0.35">
      <c r="A490" t="s">
        <v>1030</v>
      </c>
      <c r="B490" t="s">
        <v>1031</v>
      </c>
      <c r="C490" t="s">
        <v>21</v>
      </c>
      <c r="D490">
        <v>55</v>
      </c>
      <c r="E490" t="s">
        <v>22</v>
      </c>
      <c r="F490" t="s">
        <v>23</v>
      </c>
      <c r="G490" t="s">
        <v>69</v>
      </c>
      <c r="H490" t="s">
        <v>131</v>
      </c>
      <c r="I490">
        <v>19</v>
      </c>
      <c r="J490">
        <v>70128</v>
      </c>
      <c r="K490" t="s">
        <v>45</v>
      </c>
      <c r="L490">
        <v>4</v>
      </c>
      <c r="M490">
        <v>17</v>
      </c>
      <c r="N490">
        <v>2</v>
      </c>
      <c r="O490" t="s">
        <v>27</v>
      </c>
      <c r="P490" t="s">
        <v>27</v>
      </c>
      <c r="Q490">
        <v>1</v>
      </c>
      <c r="R490" t="s">
        <v>27</v>
      </c>
      <c r="S490" t="s">
        <v>27</v>
      </c>
      <c r="T490" t="b">
        <f t="shared" si="70"/>
        <v>0</v>
      </c>
      <c r="U490" t="str">
        <f t="shared" si="71"/>
        <v>Employee_0489</v>
      </c>
      <c r="V490" t="str">
        <f t="shared" si="72"/>
        <v>Female</v>
      </c>
      <c r="W490" t="str">
        <f t="shared" si="73"/>
        <v>Finance</v>
      </c>
      <c r="X490" t="str">
        <f t="shared" si="74"/>
        <v>Pune</v>
      </c>
      <c r="Y490" t="str">
        <f t="shared" si="75"/>
        <v>Valid</v>
      </c>
      <c r="Z490" t="str">
        <f t="shared" si="76"/>
        <v>Valid</v>
      </c>
      <c r="AA490" t="str">
        <f t="shared" si="77"/>
        <v>Valid</v>
      </c>
      <c r="AB490" s="9" t="str">
        <f t="shared" si="78"/>
        <v>Valid</v>
      </c>
      <c r="AC490" s="9" t="str">
        <f t="shared" si="79"/>
        <v>Valid</v>
      </c>
      <c r="AD490" s="9" t="str">
        <f>IF(AND(Y490="Valid",Z490="Valid",AA490="Valid",AB490="Valid",COUNTIF($A$2:A490,A490)=1),"Include","Exclude")</f>
        <v>Include</v>
      </c>
    </row>
    <row r="491" spans="1:30" x14ac:dyDescent="0.35">
      <c r="A491" t="s">
        <v>1032</v>
      </c>
      <c r="B491" t="s">
        <v>1033</v>
      </c>
      <c r="C491" t="s">
        <v>21</v>
      </c>
      <c r="D491">
        <v>49</v>
      </c>
      <c r="E491" t="s">
        <v>55</v>
      </c>
      <c r="F491" t="s">
        <v>23</v>
      </c>
      <c r="G491" t="s">
        <v>24</v>
      </c>
      <c r="H491" t="s">
        <v>131</v>
      </c>
      <c r="I491">
        <v>16</v>
      </c>
      <c r="J491">
        <v>77288</v>
      </c>
      <c r="K491" t="s">
        <v>45</v>
      </c>
      <c r="L491">
        <v>5</v>
      </c>
      <c r="M491">
        <v>32</v>
      </c>
      <c r="N491">
        <v>2</v>
      </c>
      <c r="O491" t="s">
        <v>27</v>
      </c>
      <c r="P491" t="s">
        <v>27</v>
      </c>
      <c r="Q491">
        <v>5</v>
      </c>
      <c r="R491" t="s">
        <v>27</v>
      </c>
      <c r="S491" t="s">
        <v>27</v>
      </c>
      <c r="T491" t="b">
        <f t="shared" si="70"/>
        <v>0</v>
      </c>
      <c r="U491" t="str">
        <f t="shared" si="71"/>
        <v>Employee_0490</v>
      </c>
      <c r="V491" t="str">
        <f t="shared" si="72"/>
        <v>Female</v>
      </c>
      <c r="W491" t="str">
        <f t="shared" si="73"/>
        <v>Finance</v>
      </c>
      <c r="X491" t="str">
        <f t="shared" si="74"/>
        <v>Pune</v>
      </c>
      <c r="Y491" t="str">
        <f t="shared" si="75"/>
        <v>Valid</v>
      </c>
      <c r="Z491" t="str">
        <f t="shared" si="76"/>
        <v>Valid</v>
      </c>
      <c r="AA491" t="str">
        <f t="shared" si="77"/>
        <v>Valid</v>
      </c>
      <c r="AB491" s="9" t="str">
        <f t="shared" si="78"/>
        <v>Valid</v>
      </c>
      <c r="AC491" s="9" t="str">
        <f t="shared" si="79"/>
        <v>Valid</v>
      </c>
      <c r="AD491" s="9" t="str">
        <f>IF(AND(Y491="Valid",Z491="Valid",AA491="Valid",AB491="Valid",COUNTIF($A$2:A491,A491)=1),"Include","Exclude")</f>
        <v>Include</v>
      </c>
    </row>
    <row r="492" spans="1:30" x14ac:dyDescent="0.35">
      <c r="A492" t="s">
        <v>1034</v>
      </c>
      <c r="B492" t="s">
        <v>1035</v>
      </c>
      <c r="C492" t="s">
        <v>31</v>
      </c>
      <c r="D492">
        <v>36</v>
      </c>
      <c r="E492" t="s">
        <v>55</v>
      </c>
      <c r="F492" t="s">
        <v>33</v>
      </c>
      <c r="G492" t="s">
        <v>24</v>
      </c>
      <c r="H492" t="s">
        <v>52</v>
      </c>
      <c r="I492">
        <v>10</v>
      </c>
      <c r="J492">
        <v>75327</v>
      </c>
      <c r="K492" t="s">
        <v>45</v>
      </c>
      <c r="L492">
        <v>2</v>
      </c>
      <c r="M492">
        <v>39</v>
      </c>
      <c r="N492">
        <v>2</v>
      </c>
      <c r="O492" t="s">
        <v>27</v>
      </c>
      <c r="P492" t="s">
        <v>28</v>
      </c>
      <c r="Q492">
        <v>5</v>
      </c>
      <c r="R492" t="s">
        <v>27</v>
      </c>
      <c r="S492" t="s">
        <v>27</v>
      </c>
      <c r="T492" t="b">
        <f t="shared" si="70"/>
        <v>0</v>
      </c>
      <c r="U492" t="str">
        <f t="shared" si="71"/>
        <v>Employee_0491</v>
      </c>
      <c r="V492" t="str">
        <f t="shared" si="72"/>
        <v>Male</v>
      </c>
      <c r="W492" t="str">
        <f t="shared" si="73"/>
        <v>Sales</v>
      </c>
      <c r="X492" t="str">
        <f t="shared" si="74"/>
        <v>Mumbai</v>
      </c>
      <c r="Y492" t="str">
        <f t="shared" si="75"/>
        <v>Valid</v>
      </c>
      <c r="Z492" t="str">
        <f t="shared" si="76"/>
        <v>Valid</v>
      </c>
      <c r="AA492" t="str">
        <f t="shared" si="77"/>
        <v>Valid</v>
      </c>
      <c r="AB492" s="9" t="str">
        <f t="shared" si="78"/>
        <v>Valid</v>
      </c>
      <c r="AC492" s="9" t="str">
        <f t="shared" si="79"/>
        <v>Valid</v>
      </c>
      <c r="AD492" s="9" t="str">
        <f>IF(AND(Y492="Valid",Z492="Valid",AA492="Valid",AB492="Valid",COUNTIF($A$2:A492,A492)=1),"Include","Exclude")</f>
        <v>Include</v>
      </c>
    </row>
    <row r="493" spans="1:30" x14ac:dyDescent="0.35">
      <c r="A493" t="s">
        <v>1036</v>
      </c>
      <c r="B493" t="s">
        <v>1037</v>
      </c>
      <c r="C493" t="s">
        <v>31</v>
      </c>
      <c r="D493">
        <v>24</v>
      </c>
      <c r="E493" t="s">
        <v>55</v>
      </c>
      <c r="F493" t="s">
        <v>23</v>
      </c>
      <c r="G493" t="s">
        <v>44</v>
      </c>
      <c r="H493" t="s">
        <v>34</v>
      </c>
      <c r="I493">
        <v>1</v>
      </c>
      <c r="J493">
        <v>73496</v>
      </c>
      <c r="K493" t="s">
        <v>45</v>
      </c>
      <c r="L493">
        <v>5</v>
      </c>
      <c r="M493">
        <v>22</v>
      </c>
      <c r="N493">
        <v>5</v>
      </c>
      <c r="O493" t="s">
        <v>27</v>
      </c>
      <c r="P493" t="s">
        <v>27</v>
      </c>
      <c r="Q493">
        <v>2</v>
      </c>
      <c r="R493" t="s">
        <v>27</v>
      </c>
      <c r="S493" t="s">
        <v>27</v>
      </c>
      <c r="T493" t="b">
        <f t="shared" si="70"/>
        <v>0</v>
      </c>
      <c r="U493" t="str">
        <f t="shared" si="71"/>
        <v>Employee_0492</v>
      </c>
      <c r="V493" t="str">
        <f t="shared" si="72"/>
        <v>Male</v>
      </c>
      <c r="W493" t="str">
        <f t="shared" si="73"/>
        <v>Finance</v>
      </c>
      <c r="X493" t="str">
        <f t="shared" si="74"/>
        <v>Gurgaon</v>
      </c>
      <c r="Y493" t="str">
        <f t="shared" si="75"/>
        <v>Valid</v>
      </c>
      <c r="Z493" t="str">
        <f t="shared" si="76"/>
        <v>Valid</v>
      </c>
      <c r="AA493" t="str">
        <f t="shared" si="77"/>
        <v>Valid</v>
      </c>
      <c r="AB493" s="9" t="str">
        <f t="shared" si="78"/>
        <v>Valid</v>
      </c>
      <c r="AC493" s="9" t="str">
        <f t="shared" si="79"/>
        <v>Valid</v>
      </c>
      <c r="AD493" s="9" t="str">
        <f>IF(AND(Y493="Valid",Z493="Valid",AA493="Valid",AB493="Valid",COUNTIF($A$2:A493,A493)=1),"Include","Exclude")</f>
        <v>Include</v>
      </c>
    </row>
    <row r="494" spans="1:30" x14ac:dyDescent="0.35">
      <c r="A494" t="s">
        <v>1038</v>
      </c>
      <c r="B494" t="s">
        <v>1039</v>
      </c>
      <c r="C494" t="s">
        <v>31</v>
      </c>
      <c r="D494">
        <v>24</v>
      </c>
      <c r="E494" t="s">
        <v>55</v>
      </c>
      <c r="F494" t="s">
        <v>39</v>
      </c>
      <c r="G494" t="s">
        <v>24</v>
      </c>
      <c r="H494" t="s">
        <v>25</v>
      </c>
      <c r="I494">
        <v>1</v>
      </c>
      <c r="J494">
        <v>55822</v>
      </c>
      <c r="K494" t="s">
        <v>45</v>
      </c>
      <c r="L494">
        <v>6</v>
      </c>
      <c r="M494">
        <v>11</v>
      </c>
      <c r="N494">
        <v>1</v>
      </c>
      <c r="O494" t="s">
        <v>28</v>
      </c>
      <c r="P494" t="s">
        <v>28</v>
      </c>
      <c r="Q494">
        <v>5</v>
      </c>
      <c r="R494" t="s">
        <v>27</v>
      </c>
      <c r="S494" t="s">
        <v>28</v>
      </c>
      <c r="T494" t="b">
        <f t="shared" si="70"/>
        <v>0</v>
      </c>
      <c r="U494" t="str">
        <f t="shared" si="71"/>
        <v>Employee_0493</v>
      </c>
      <c r="V494" t="str">
        <f t="shared" si="72"/>
        <v>Male</v>
      </c>
      <c r="W494" t="str">
        <f t="shared" si="73"/>
        <v>Operations</v>
      </c>
      <c r="X494" t="str">
        <f t="shared" si="74"/>
        <v>Hyderabad</v>
      </c>
      <c r="Y494" t="str">
        <f t="shared" si="75"/>
        <v>Valid</v>
      </c>
      <c r="Z494" t="str">
        <f t="shared" si="76"/>
        <v>Valid</v>
      </c>
      <c r="AA494" t="str">
        <f t="shared" si="77"/>
        <v>Valid</v>
      </c>
      <c r="AB494" s="9" t="str">
        <f t="shared" si="78"/>
        <v>Valid</v>
      </c>
      <c r="AC494" s="9" t="str">
        <f t="shared" si="79"/>
        <v>Valid</v>
      </c>
      <c r="AD494" s="9" t="str">
        <f>IF(AND(Y494="Valid",Z494="Valid",AA494="Valid",AB494="Valid",COUNTIF($A$2:A494,A494)=1),"Include","Exclude")</f>
        <v>Include</v>
      </c>
    </row>
    <row r="495" spans="1:30" x14ac:dyDescent="0.35">
      <c r="A495" t="s">
        <v>1040</v>
      </c>
      <c r="B495" t="s">
        <v>1041</v>
      </c>
      <c r="C495" t="s">
        <v>31</v>
      </c>
      <c r="D495">
        <v>24</v>
      </c>
      <c r="E495" t="s">
        <v>22</v>
      </c>
      <c r="F495" t="s">
        <v>33</v>
      </c>
      <c r="G495" t="s">
        <v>24</v>
      </c>
      <c r="H495" t="s">
        <v>61</v>
      </c>
      <c r="I495">
        <v>2</v>
      </c>
      <c r="J495">
        <v>53060</v>
      </c>
      <c r="K495" t="s">
        <v>35</v>
      </c>
      <c r="L495">
        <v>9</v>
      </c>
      <c r="M495">
        <v>2</v>
      </c>
      <c r="N495">
        <v>6</v>
      </c>
      <c r="O495" t="s">
        <v>27</v>
      </c>
      <c r="P495" t="s">
        <v>28</v>
      </c>
      <c r="Q495">
        <v>3</v>
      </c>
      <c r="R495" t="s">
        <v>28</v>
      </c>
      <c r="S495" t="s">
        <v>27</v>
      </c>
      <c r="T495" t="b">
        <f t="shared" si="70"/>
        <v>0</v>
      </c>
      <c r="U495" t="str">
        <f t="shared" si="71"/>
        <v>Employee_0494</v>
      </c>
      <c r="V495" t="str">
        <f t="shared" si="72"/>
        <v>Male</v>
      </c>
      <c r="W495" t="str">
        <f t="shared" si="73"/>
        <v>Sales</v>
      </c>
      <c r="X495" t="str">
        <f t="shared" si="74"/>
        <v>Noida</v>
      </c>
      <c r="Y495" t="str">
        <f t="shared" si="75"/>
        <v>Valid</v>
      </c>
      <c r="Z495" t="str">
        <f t="shared" si="76"/>
        <v>Valid</v>
      </c>
      <c r="AA495" t="str">
        <f t="shared" si="77"/>
        <v>Valid</v>
      </c>
      <c r="AB495" s="9" t="str">
        <f t="shared" si="78"/>
        <v>Valid</v>
      </c>
      <c r="AC495" s="9" t="str">
        <f t="shared" si="79"/>
        <v>Valid</v>
      </c>
      <c r="AD495" s="9" t="str">
        <f>IF(AND(Y495="Valid",Z495="Valid",AA495="Valid",AB495="Valid",COUNTIF($A$2:A495,A495)=1),"Include","Exclude")</f>
        <v>Include</v>
      </c>
    </row>
    <row r="496" spans="1:30" x14ac:dyDescent="0.35">
      <c r="A496" t="s">
        <v>1042</v>
      </c>
      <c r="B496" t="s">
        <v>1043</v>
      </c>
      <c r="C496" t="s">
        <v>21</v>
      </c>
      <c r="D496">
        <v>43</v>
      </c>
      <c r="E496" t="s">
        <v>38</v>
      </c>
      <c r="F496" t="s">
        <v>48</v>
      </c>
      <c r="G496" t="s">
        <v>24</v>
      </c>
      <c r="H496" t="s">
        <v>70</v>
      </c>
      <c r="I496">
        <v>12</v>
      </c>
      <c r="J496">
        <v>59554</v>
      </c>
      <c r="K496" t="s">
        <v>26</v>
      </c>
      <c r="L496">
        <v>8</v>
      </c>
      <c r="M496">
        <v>47</v>
      </c>
      <c r="N496">
        <v>6</v>
      </c>
      <c r="O496" t="s">
        <v>27</v>
      </c>
      <c r="P496" t="s">
        <v>28</v>
      </c>
      <c r="Q496">
        <v>4</v>
      </c>
      <c r="R496" t="s">
        <v>28</v>
      </c>
      <c r="S496" t="s">
        <v>28</v>
      </c>
      <c r="T496" t="b">
        <f t="shared" si="70"/>
        <v>0</v>
      </c>
      <c r="U496" t="str">
        <f t="shared" si="71"/>
        <v>Employee_0495</v>
      </c>
      <c r="V496" t="str">
        <f t="shared" si="72"/>
        <v>Female</v>
      </c>
      <c r="W496" t="str">
        <f t="shared" si="73"/>
        <v>Customer Support</v>
      </c>
      <c r="X496" t="str">
        <f t="shared" si="74"/>
        <v>Bangalore</v>
      </c>
      <c r="Y496" t="str">
        <f t="shared" si="75"/>
        <v>Valid</v>
      </c>
      <c r="Z496" t="str">
        <f t="shared" si="76"/>
        <v>Valid</v>
      </c>
      <c r="AA496" t="str">
        <f t="shared" si="77"/>
        <v>Valid</v>
      </c>
      <c r="AB496" s="9" t="str">
        <f t="shared" si="78"/>
        <v>Valid</v>
      </c>
      <c r="AC496" s="9" t="str">
        <f t="shared" si="79"/>
        <v>Valid</v>
      </c>
      <c r="AD496" s="9" t="str">
        <f>IF(AND(Y496="Valid",Z496="Valid",AA496="Valid",AB496="Valid",COUNTIF($A$2:A496,A496)=1),"Include","Exclude")</f>
        <v>Include</v>
      </c>
    </row>
    <row r="497" spans="1:30" x14ac:dyDescent="0.35">
      <c r="A497" t="s">
        <v>1044</v>
      </c>
      <c r="B497" t="s">
        <v>1045</v>
      </c>
      <c r="C497" t="s">
        <v>31</v>
      </c>
      <c r="D497">
        <v>41</v>
      </c>
      <c r="E497" t="s">
        <v>32</v>
      </c>
      <c r="F497" t="s">
        <v>48</v>
      </c>
      <c r="G497" t="s">
        <v>24</v>
      </c>
      <c r="H497" t="s">
        <v>131</v>
      </c>
      <c r="I497">
        <v>13</v>
      </c>
      <c r="J497">
        <v>45219</v>
      </c>
      <c r="K497" t="s">
        <v>45</v>
      </c>
      <c r="L497">
        <v>9</v>
      </c>
      <c r="M497">
        <v>43</v>
      </c>
      <c r="N497">
        <v>2</v>
      </c>
      <c r="O497" t="s">
        <v>27</v>
      </c>
      <c r="P497" t="s">
        <v>28</v>
      </c>
      <c r="Q497">
        <v>3</v>
      </c>
      <c r="R497" t="s">
        <v>27</v>
      </c>
      <c r="S497" t="s">
        <v>27</v>
      </c>
      <c r="T497" t="b">
        <f t="shared" si="70"/>
        <v>0</v>
      </c>
      <c r="U497" t="str">
        <f t="shared" si="71"/>
        <v>Employee_0496</v>
      </c>
      <c r="V497" t="str">
        <f t="shared" si="72"/>
        <v>Male</v>
      </c>
      <c r="W497" t="str">
        <f t="shared" si="73"/>
        <v>Customer Support</v>
      </c>
      <c r="X497" t="str">
        <f t="shared" si="74"/>
        <v>Pune</v>
      </c>
      <c r="Y497" t="str">
        <f t="shared" si="75"/>
        <v>Valid</v>
      </c>
      <c r="Z497" t="str">
        <f t="shared" si="76"/>
        <v>Valid</v>
      </c>
      <c r="AA497" t="str">
        <f t="shared" si="77"/>
        <v>Valid</v>
      </c>
      <c r="AB497" s="9" t="str">
        <f t="shared" si="78"/>
        <v>Valid</v>
      </c>
      <c r="AC497" s="9" t="str">
        <f t="shared" si="79"/>
        <v>Valid</v>
      </c>
      <c r="AD497" s="9" t="str">
        <f>IF(AND(Y497="Valid",Z497="Valid",AA497="Valid",AB497="Valid",COUNTIF($A$2:A497,A497)=1),"Include","Exclude")</f>
        <v>Include</v>
      </c>
    </row>
    <row r="498" spans="1:30" x14ac:dyDescent="0.35">
      <c r="A498" t="s">
        <v>1046</v>
      </c>
      <c r="B498" t="s">
        <v>1047</v>
      </c>
      <c r="C498" t="s">
        <v>31</v>
      </c>
      <c r="D498">
        <v>29</v>
      </c>
      <c r="E498" t="s">
        <v>38</v>
      </c>
      <c r="F498" t="s">
        <v>48</v>
      </c>
      <c r="G498" t="s">
        <v>24</v>
      </c>
      <c r="H498" t="s">
        <v>70</v>
      </c>
      <c r="I498">
        <v>6</v>
      </c>
      <c r="J498">
        <v>43886</v>
      </c>
      <c r="K498" t="s">
        <v>45</v>
      </c>
      <c r="L498">
        <v>4</v>
      </c>
      <c r="M498">
        <v>53</v>
      </c>
      <c r="N498">
        <v>4</v>
      </c>
      <c r="O498" t="s">
        <v>27</v>
      </c>
      <c r="P498" t="s">
        <v>27</v>
      </c>
      <c r="Q498">
        <v>1</v>
      </c>
      <c r="R498" t="s">
        <v>27</v>
      </c>
      <c r="S498" t="s">
        <v>27</v>
      </c>
      <c r="T498" t="b">
        <f t="shared" si="70"/>
        <v>0</v>
      </c>
      <c r="U498" t="str">
        <f t="shared" si="71"/>
        <v>Employee_0497</v>
      </c>
      <c r="V498" t="str">
        <f t="shared" si="72"/>
        <v>Male</v>
      </c>
      <c r="W498" t="str">
        <f t="shared" si="73"/>
        <v>Customer Support</v>
      </c>
      <c r="X498" t="str">
        <f t="shared" si="74"/>
        <v>Bangalore</v>
      </c>
      <c r="Y498" t="str">
        <f t="shared" si="75"/>
        <v>Valid</v>
      </c>
      <c r="Z498" t="str">
        <f t="shared" si="76"/>
        <v>Valid</v>
      </c>
      <c r="AA498" t="str">
        <f t="shared" si="77"/>
        <v>Valid</v>
      </c>
      <c r="AB498" s="9" t="str">
        <f t="shared" si="78"/>
        <v>Valid</v>
      </c>
      <c r="AC498" s="9" t="str">
        <f t="shared" si="79"/>
        <v>Valid</v>
      </c>
      <c r="AD498" s="9" t="str">
        <f>IF(AND(Y498="Valid",Z498="Valid",AA498="Valid",AB498="Valid",COUNTIF($A$2:A498,A498)=1),"Include","Exclude")</f>
        <v>Include</v>
      </c>
    </row>
    <row r="499" spans="1:30" x14ac:dyDescent="0.35">
      <c r="A499" t="s">
        <v>1048</v>
      </c>
      <c r="B499" t="s">
        <v>1049</v>
      </c>
      <c r="C499" t="s">
        <v>31</v>
      </c>
      <c r="D499">
        <v>52</v>
      </c>
      <c r="E499" t="s">
        <v>55</v>
      </c>
      <c r="F499" t="s">
        <v>23</v>
      </c>
      <c r="G499" t="s">
        <v>69</v>
      </c>
      <c r="H499" t="s">
        <v>34</v>
      </c>
      <c r="I499">
        <v>18</v>
      </c>
      <c r="J499">
        <v>68944</v>
      </c>
      <c r="K499" t="s">
        <v>45</v>
      </c>
      <c r="L499">
        <v>2</v>
      </c>
      <c r="M499">
        <v>22</v>
      </c>
      <c r="N499">
        <v>5</v>
      </c>
      <c r="O499" t="s">
        <v>28</v>
      </c>
      <c r="P499" t="s">
        <v>28</v>
      </c>
      <c r="Q499">
        <v>1</v>
      </c>
      <c r="R499" t="s">
        <v>27</v>
      </c>
      <c r="S499" t="s">
        <v>28</v>
      </c>
      <c r="T499" t="b">
        <f t="shared" si="70"/>
        <v>0</v>
      </c>
      <c r="U499" t="str">
        <f t="shared" si="71"/>
        <v>Employee_0498</v>
      </c>
      <c r="V499" t="str">
        <f t="shared" si="72"/>
        <v>Male</v>
      </c>
      <c r="W499" t="str">
        <f t="shared" si="73"/>
        <v>Finance</v>
      </c>
      <c r="X499" t="str">
        <f t="shared" si="74"/>
        <v>Gurgaon</v>
      </c>
      <c r="Y499" t="str">
        <f t="shared" si="75"/>
        <v>Valid</v>
      </c>
      <c r="Z499" t="str">
        <f t="shared" si="76"/>
        <v>Valid</v>
      </c>
      <c r="AA499" t="str">
        <f t="shared" si="77"/>
        <v>Valid</v>
      </c>
      <c r="AB499" s="9" t="str">
        <f t="shared" si="78"/>
        <v>Valid</v>
      </c>
      <c r="AC499" s="9" t="str">
        <f t="shared" si="79"/>
        <v>Valid</v>
      </c>
      <c r="AD499" s="9" t="str">
        <f>IF(AND(Y499="Valid",Z499="Valid",AA499="Valid",AB499="Valid",COUNTIF($A$2:A499,A499)=1),"Include","Exclude")</f>
        <v>Include</v>
      </c>
    </row>
    <row r="500" spans="1:30" x14ac:dyDescent="0.35">
      <c r="A500" t="s">
        <v>1050</v>
      </c>
      <c r="B500" t="s">
        <v>1051</v>
      </c>
      <c r="C500" t="s">
        <v>31</v>
      </c>
      <c r="D500">
        <v>26</v>
      </c>
      <c r="E500" t="s">
        <v>38</v>
      </c>
      <c r="F500" t="s">
        <v>33</v>
      </c>
      <c r="G500" t="s">
        <v>69</v>
      </c>
      <c r="H500" t="s">
        <v>131</v>
      </c>
      <c r="I500">
        <v>3</v>
      </c>
      <c r="J500">
        <v>60703</v>
      </c>
      <c r="K500" t="s">
        <v>45</v>
      </c>
      <c r="L500">
        <v>6</v>
      </c>
      <c r="M500">
        <v>27</v>
      </c>
      <c r="N500">
        <v>0</v>
      </c>
      <c r="O500" t="s">
        <v>28</v>
      </c>
      <c r="P500" t="s">
        <v>27</v>
      </c>
      <c r="Q500">
        <v>2</v>
      </c>
      <c r="R500" t="s">
        <v>27</v>
      </c>
      <c r="S500" t="s">
        <v>27</v>
      </c>
      <c r="T500" t="b">
        <f t="shared" si="70"/>
        <v>0</v>
      </c>
      <c r="U500" t="str">
        <f t="shared" si="71"/>
        <v>Employee_0499</v>
      </c>
      <c r="V500" t="str">
        <f t="shared" si="72"/>
        <v>Male</v>
      </c>
      <c r="W500" t="str">
        <f t="shared" si="73"/>
        <v>Sales</v>
      </c>
      <c r="X500" t="str">
        <f t="shared" si="74"/>
        <v>Pune</v>
      </c>
      <c r="Y500" t="str">
        <f t="shared" si="75"/>
        <v>Valid</v>
      </c>
      <c r="Z500" t="str">
        <f t="shared" si="76"/>
        <v>Valid</v>
      </c>
      <c r="AA500" t="str">
        <f t="shared" si="77"/>
        <v>Valid</v>
      </c>
      <c r="AB500" s="9" t="str">
        <f t="shared" si="78"/>
        <v>Valid</v>
      </c>
      <c r="AC500" s="9" t="str">
        <f t="shared" si="79"/>
        <v>Valid</v>
      </c>
      <c r="AD500" s="9" t="str">
        <f>IF(AND(Y500="Valid",Z500="Valid",AA500="Valid",AB500="Valid",COUNTIF($A$2:A500,A500)=1),"Include","Exclude")</f>
        <v>Include</v>
      </c>
    </row>
    <row r="501" spans="1:30" x14ac:dyDescent="0.35">
      <c r="A501" t="s">
        <v>1052</v>
      </c>
      <c r="B501" t="s">
        <v>1053</v>
      </c>
      <c r="C501" t="s">
        <v>31</v>
      </c>
      <c r="D501">
        <v>53</v>
      </c>
      <c r="E501" t="s">
        <v>55</v>
      </c>
      <c r="F501" t="s">
        <v>39</v>
      </c>
      <c r="G501" t="s">
        <v>24</v>
      </c>
      <c r="H501" t="s">
        <v>70</v>
      </c>
      <c r="I501">
        <v>21</v>
      </c>
      <c r="J501">
        <v>70982</v>
      </c>
      <c r="K501" t="s">
        <v>40</v>
      </c>
      <c r="L501">
        <v>4</v>
      </c>
      <c r="M501">
        <v>51</v>
      </c>
      <c r="N501">
        <v>4</v>
      </c>
      <c r="O501" t="s">
        <v>27</v>
      </c>
      <c r="P501" t="s">
        <v>27</v>
      </c>
      <c r="Q501">
        <v>1</v>
      </c>
      <c r="R501" t="s">
        <v>27</v>
      </c>
      <c r="S501" t="s">
        <v>28</v>
      </c>
      <c r="T501" t="b">
        <f t="shared" si="70"/>
        <v>0</v>
      </c>
      <c r="U501" t="str">
        <f t="shared" si="71"/>
        <v>Employee_0500</v>
      </c>
      <c r="V501" t="str">
        <f t="shared" si="72"/>
        <v>Male</v>
      </c>
      <c r="W501" t="str">
        <f t="shared" si="73"/>
        <v>Operations</v>
      </c>
      <c r="X501" t="str">
        <f t="shared" si="74"/>
        <v>Bangalore</v>
      </c>
      <c r="Y501" t="str">
        <f t="shared" si="75"/>
        <v>Valid</v>
      </c>
      <c r="Z501" t="str">
        <f t="shared" si="76"/>
        <v>Valid</v>
      </c>
      <c r="AA501" t="str">
        <f t="shared" si="77"/>
        <v>Valid</v>
      </c>
      <c r="AB501" s="9" t="str">
        <f t="shared" si="78"/>
        <v>Valid</v>
      </c>
      <c r="AC501" s="9" t="str">
        <f t="shared" si="79"/>
        <v>Valid</v>
      </c>
      <c r="AD501" s="9" t="str">
        <f>IF(AND(Y501="Valid",Z501="Valid",AA501="Valid",AB501="Valid",COUNTIF($A$2:A501,A501)=1),"Include","Exclude")</f>
        <v>Include</v>
      </c>
    </row>
    <row r="502" spans="1:30" hidden="1" x14ac:dyDescent="0.35">
      <c r="A502" t="s">
        <v>148</v>
      </c>
      <c r="B502" t="s">
        <v>149</v>
      </c>
      <c r="C502" t="s">
        <v>31</v>
      </c>
      <c r="D502">
        <v>42</v>
      </c>
      <c r="E502" t="s">
        <v>55</v>
      </c>
      <c r="F502" t="s">
        <v>48</v>
      </c>
      <c r="G502" t="s">
        <v>24</v>
      </c>
      <c r="H502" t="s">
        <v>52</v>
      </c>
      <c r="I502">
        <v>9</v>
      </c>
      <c r="J502">
        <v>43441</v>
      </c>
      <c r="K502" t="s">
        <v>40</v>
      </c>
      <c r="L502">
        <v>3</v>
      </c>
      <c r="M502">
        <v>18</v>
      </c>
      <c r="N502">
        <v>5</v>
      </c>
      <c r="O502" t="s">
        <v>27</v>
      </c>
      <c r="P502" t="s">
        <v>27</v>
      </c>
      <c r="Q502">
        <v>3</v>
      </c>
      <c r="R502" t="s">
        <v>28</v>
      </c>
      <c r="S502" t="s">
        <v>27</v>
      </c>
      <c r="T502" t="b">
        <f t="shared" si="70"/>
        <v>1</v>
      </c>
      <c r="U502" t="str">
        <f t="shared" si="71"/>
        <v>Employee_0051</v>
      </c>
      <c r="V502" t="str">
        <f t="shared" si="72"/>
        <v>Male</v>
      </c>
      <c r="W502" t="str">
        <f t="shared" si="73"/>
        <v>Customer Support</v>
      </c>
      <c r="X502" t="str">
        <f t="shared" si="74"/>
        <v>Mumbai</v>
      </c>
      <c r="Y502" t="str">
        <f t="shared" si="75"/>
        <v>Valid</v>
      </c>
      <c r="Z502" t="str">
        <f t="shared" si="76"/>
        <v>Valid</v>
      </c>
      <c r="AA502" t="str">
        <f t="shared" si="77"/>
        <v>Valid</v>
      </c>
      <c r="AB502" s="9" t="str">
        <f t="shared" si="78"/>
        <v>Valid</v>
      </c>
      <c r="AC502" s="9" t="str">
        <f t="shared" si="79"/>
        <v>Check</v>
      </c>
      <c r="AD502" s="9" t="str">
        <f>IF(AND(Y502="Valid",Z502="Valid",AA502="Valid",AB502="Valid",COUNTIF($A$2:A502,A502)=1),"Include","Exclude")</f>
        <v>Exclude</v>
      </c>
    </row>
    <row r="503" spans="1:30" hidden="1" x14ac:dyDescent="0.35">
      <c r="A503" t="s">
        <v>400</v>
      </c>
      <c r="B503" t="s">
        <v>401</v>
      </c>
      <c r="C503" t="s">
        <v>31</v>
      </c>
      <c r="D503">
        <v>40</v>
      </c>
      <c r="E503" t="s">
        <v>38</v>
      </c>
      <c r="F503" t="s">
        <v>64</v>
      </c>
      <c r="G503" t="s">
        <v>24</v>
      </c>
      <c r="H503" t="s">
        <v>25</v>
      </c>
      <c r="I503">
        <v>15</v>
      </c>
      <c r="J503">
        <v>59858</v>
      </c>
      <c r="K503" t="s">
        <v>45</v>
      </c>
      <c r="L503">
        <v>1</v>
      </c>
      <c r="M503">
        <v>30</v>
      </c>
      <c r="N503">
        <v>4</v>
      </c>
      <c r="O503" t="s">
        <v>28</v>
      </c>
      <c r="P503" t="s">
        <v>27</v>
      </c>
      <c r="Q503">
        <v>4</v>
      </c>
      <c r="R503" t="s">
        <v>28</v>
      </c>
      <c r="S503" t="s">
        <v>27</v>
      </c>
      <c r="T503" t="b">
        <f t="shared" si="70"/>
        <v>1</v>
      </c>
      <c r="U503" t="str">
        <f t="shared" si="71"/>
        <v>Employee_0176</v>
      </c>
      <c r="V503" t="str">
        <f t="shared" si="72"/>
        <v>Male</v>
      </c>
      <c r="W503" t="str">
        <f t="shared" si="73"/>
        <v>Marketing</v>
      </c>
      <c r="X503" t="str">
        <f t="shared" si="74"/>
        <v>Hyderabad</v>
      </c>
      <c r="Y503" t="str">
        <f t="shared" si="75"/>
        <v>Valid</v>
      </c>
      <c r="Z503" t="str">
        <f t="shared" si="76"/>
        <v>Valid</v>
      </c>
      <c r="AA503" t="str">
        <f t="shared" si="77"/>
        <v>Valid</v>
      </c>
      <c r="AB503" s="9" t="str">
        <f t="shared" si="78"/>
        <v>Valid</v>
      </c>
      <c r="AC503" s="9" t="str">
        <f t="shared" si="79"/>
        <v>Check</v>
      </c>
      <c r="AD503" s="9" t="str">
        <f>IF(AND(Y503="Valid",Z503="Valid",AA503="Valid",AB503="Valid",COUNTIF($A$2:A503,A503)=1),"Include","Exclude")</f>
        <v>Exclude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5C9C-FD5B-4BF7-A5EB-F2E730BB0D91}">
  <dimension ref="A1:S495"/>
  <sheetViews>
    <sheetView tabSelected="1" topLeftCell="N1" workbookViewId="0">
      <selection sqref="A1:S495"/>
    </sheetView>
  </sheetViews>
  <sheetFormatPr defaultRowHeight="14.5" x14ac:dyDescent="0.35"/>
  <cols>
    <col min="1" max="1" width="13.81640625" customWidth="1"/>
    <col min="2" max="2" width="16.90625" customWidth="1"/>
    <col min="3" max="3" width="9" customWidth="1"/>
    <col min="5" max="5" width="11.1796875" customWidth="1"/>
    <col min="6" max="6" width="13.08984375" customWidth="1"/>
    <col min="7" max="7" width="10.6328125" customWidth="1"/>
    <col min="8" max="8" width="9.90625" customWidth="1"/>
    <col min="9" max="9" width="17.453125" customWidth="1"/>
    <col min="11" max="11" width="19.90625" customWidth="1"/>
    <col min="12" max="12" width="16.36328125" customWidth="1"/>
    <col min="13" max="13" width="15.54296875" customWidth="1"/>
    <col min="14" max="14" width="19.81640625" customWidth="1"/>
    <col min="15" max="15" width="16.1796875" customWidth="1"/>
    <col min="16" max="16" width="10.6328125" customWidth="1"/>
    <col min="17" max="17" width="16.54296875" customWidth="1"/>
    <col min="18" max="18" width="11.26953125" customWidth="1"/>
    <col min="19" max="19" width="10" customWidth="1"/>
  </cols>
  <sheetData>
    <row r="1" spans="1:19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19" x14ac:dyDescent="0.35">
      <c r="A2" s="7" t="s">
        <v>19</v>
      </c>
      <c r="B2" s="5" t="s">
        <v>20</v>
      </c>
      <c r="C2" s="5" t="s">
        <v>21</v>
      </c>
      <c r="D2" s="5">
        <v>26</v>
      </c>
      <c r="E2" s="5" t="s">
        <v>22</v>
      </c>
      <c r="F2" s="5" t="s">
        <v>23</v>
      </c>
      <c r="G2" s="5" t="s">
        <v>24</v>
      </c>
      <c r="H2" s="5" t="s">
        <v>25</v>
      </c>
      <c r="I2" s="5">
        <v>3</v>
      </c>
      <c r="J2" s="5">
        <v>67217</v>
      </c>
      <c r="K2" s="5" t="s">
        <v>26</v>
      </c>
      <c r="L2" s="5">
        <v>5</v>
      </c>
      <c r="M2" s="5">
        <v>55</v>
      </c>
      <c r="N2" s="5">
        <v>6</v>
      </c>
      <c r="O2" s="5" t="s">
        <v>27</v>
      </c>
      <c r="P2" s="5" t="s">
        <v>28</v>
      </c>
      <c r="Q2" s="5">
        <v>3</v>
      </c>
      <c r="R2" s="5" t="s">
        <v>28</v>
      </c>
      <c r="S2" s="5" t="s">
        <v>27</v>
      </c>
    </row>
    <row r="3" spans="1:19" x14ac:dyDescent="0.35">
      <c r="A3" s="8" t="s">
        <v>29</v>
      </c>
      <c r="B3" s="6" t="s">
        <v>30</v>
      </c>
      <c r="C3" s="6" t="s">
        <v>31</v>
      </c>
      <c r="D3" s="6">
        <v>36</v>
      </c>
      <c r="E3" s="6" t="s">
        <v>32</v>
      </c>
      <c r="F3" s="6" t="s">
        <v>33</v>
      </c>
      <c r="G3" s="6" t="s">
        <v>24</v>
      </c>
      <c r="H3" s="6" t="s">
        <v>34</v>
      </c>
      <c r="I3" s="6">
        <v>12</v>
      </c>
      <c r="J3" s="6">
        <v>57240</v>
      </c>
      <c r="K3" s="6" t="s">
        <v>35</v>
      </c>
      <c r="L3" s="6">
        <v>2</v>
      </c>
      <c r="M3" s="6">
        <v>23</v>
      </c>
      <c r="N3" s="6">
        <v>6</v>
      </c>
      <c r="O3" s="6" t="s">
        <v>28</v>
      </c>
      <c r="P3" s="6" t="s">
        <v>28</v>
      </c>
      <c r="Q3" s="6">
        <v>1</v>
      </c>
      <c r="R3" s="6" t="s">
        <v>27</v>
      </c>
      <c r="S3" s="6" t="s">
        <v>27</v>
      </c>
    </row>
    <row r="4" spans="1:19" x14ac:dyDescent="0.35">
      <c r="A4" s="7" t="s">
        <v>36</v>
      </c>
      <c r="B4" s="5" t="s">
        <v>37</v>
      </c>
      <c r="C4" s="5" t="s">
        <v>21</v>
      </c>
      <c r="D4" s="5">
        <v>53</v>
      </c>
      <c r="E4" s="5" t="s">
        <v>38</v>
      </c>
      <c r="F4" s="5" t="s">
        <v>39</v>
      </c>
      <c r="G4" s="5" t="s">
        <v>24</v>
      </c>
      <c r="H4" s="5" t="s">
        <v>34</v>
      </c>
      <c r="I4" s="5">
        <v>24</v>
      </c>
      <c r="J4" s="5">
        <v>65086</v>
      </c>
      <c r="K4" s="5" t="s">
        <v>40</v>
      </c>
      <c r="L4" s="5">
        <v>2</v>
      </c>
      <c r="M4" s="5">
        <v>29</v>
      </c>
      <c r="N4" s="5">
        <v>6</v>
      </c>
      <c r="O4" s="5" t="s">
        <v>27</v>
      </c>
      <c r="P4" s="5" t="s">
        <v>28</v>
      </c>
      <c r="Q4" s="5">
        <v>4</v>
      </c>
      <c r="R4" s="5" t="s">
        <v>28</v>
      </c>
      <c r="S4" s="5" t="s">
        <v>27</v>
      </c>
    </row>
    <row r="5" spans="1:19" x14ac:dyDescent="0.35">
      <c r="A5" s="8" t="s">
        <v>41</v>
      </c>
      <c r="B5" s="6" t="s">
        <v>42</v>
      </c>
      <c r="C5" s="6" t="s">
        <v>31</v>
      </c>
      <c r="D5" s="6">
        <v>48</v>
      </c>
      <c r="E5" s="6" t="s">
        <v>38</v>
      </c>
      <c r="F5" s="6" t="s">
        <v>43</v>
      </c>
      <c r="G5" s="6" t="s">
        <v>44</v>
      </c>
      <c r="H5" s="6" t="s">
        <v>25</v>
      </c>
      <c r="I5" s="6">
        <v>12</v>
      </c>
      <c r="J5" s="6">
        <v>76341</v>
      </c>
      <c r="K5" s="6" t="s">
        <v>45</v>
      </c>
      <c r="L5" s="6">
        <v>3</v>
      </c>
      <c r="M5" s="6">
        <v>4</v>
      </c>
      <c r="N5" s="6">
        <v>4</v>
      </c>
      <c r="O5" s="6" t="s">
        <v>27</v>
      </c>
      <c r="P5" s="6" t="s">
        <v>27</v>
      </c>
      <c r="Q5" s="6">
        <v>5</v>
      </c>
      <c r="R5" s="6" t="s">
        <v>27</v>
      </c>
      <c r="S5" s="6" t="s">
        <v>27</v>
      </c>
    </row>
    <row r="6" spans="1:19" x14ac:dyDescent="0.35">
      <c r="A6" s="7" t="s">
        <v>46</v>
      </c>
      <c r="B6" s="5" t="s">
        <v>47</v>
      </c>
      <c r="C6" s="5" t="s">
        <v>21</v>
      </c>
      <c r="D6" s="5">
        <v>42</v>
      </c>
      <c r="E6" s="5" t="s">
        <v>38</v>
      </c>
      <c r="F6" s="5" t="s">
        <v>48</v>
      </c>
      <c r="G6" s="5" t="s">
        <v>44</v>
      </c>
      <c r="H6" s="5" t="s">
        <v>49</v>
      </c>
      <c r="I6" s="5">
        <v>14</v>
      </c>
      <c r="J6" s="5">
        <v>53557</v>
      </c>
      <c r="K6" s="5" t="s">
        <v>45</v>
      </c>
      <c r="L6" s="5">
        <v>2</v>
      </c>
      <c r="M6" s="5">
        <v>33</v>
      </c>
      <c r="N6" s="5">
        <v>6</v>
      </c>
      <c r="O6" s="5" t="s">
        <v>27</v>
      </c>
      <c r="P6" s="5" t="s">
        <v>27</v>
      </c>
      <c r="Q6" s="5">
        <v>4</v>
      </c>
      <c r="R6" s="5" t="s">
        <v>27</v>
      </c>
      <c r="S6" s="5" t="s">
        <v>28</v>
      </c>
    </row>
    <row r="7" spans="1:19" x14ac:dyDescent="0.35">
      <c r="A7" s="8" t="s">
        <v>50</v>
      </c>
      <c r="B7" s="6" t="s">
        <v>51</v>
      </c>
      <c r="C7" s="6" t="s">
        <v>21</v>
      </c>
      <c r="D7" s="6">
        <v>40</v>
      </c>
      <c r="E7" s="6" t="s">
        <v>38</v>
      </c>
      <c r="F7" s="6" t="s">
        <v>43</v>
      </c>
      <c r="G7" s="6" t="s">
        <v>24</v>
      </c>
      <c r="H7" s="6" t="s">
        <v>52</v>
      </c>
      <c r="I7" s="6">
        <v>7</v>
      </c>
      <c r="J7" s="6">
        <v>70648</v>
      </c>
      <c r="K7" s="6" t="s">
        <v>26</v>
      </c>
      <c r="L7" s="6">
        <v>4</v>
      </c>
      <c r="M7" s="6">
        <v>24</v>
      </c>
      <c r="N7" s="6">
        <v>4</v>
      </c>
      <c r="O7" s="6" t="s">
        <v>28</v>
      </c>
      <c r="P7" s="6" t="s">
        <v>28</v>
      </c>
      <c r="Q7" s="6">
        <v>4</v>
      </c>
      <c r="R7" s="6" t="s">
        <v>27</v>
      </c>
      <c r="S7" s="6" t="s">
        <v>27</v>
      </c>
    </row>
    <row r="8" spans="1:19" x14ac:dyDescent="0.35">
      <c r="A8" s="7" t="s">
        <v>53</v>
      </c>
      <c r="B8" s="5" t="s">
        <v>54</v>
      </c>
      <c r="C8" s="5" t="s">
        <v>21</v>
      </c>
      <c r="D8" s="5">
        <v>55</v>
      </c>
      <c r="E8" s="5" t="s">
        <v>55</v>
      </c>
      <c r="F8" s="5" t="s">
        <v>23</v>
      </c>
      <c r="G8" s="5" t="s">
        <v>24</v>
      </c>
      <c r="H8" s="5" t="s">
        <v>52</v>
      </c>
      <c r="I8" s="5">
        <v>20</v>
      </c>
      <c r="J8" s="5">
        <v>82000</v>
      </c>
      <c r="K8" s="5" t="s">
        <v>26</v>
      </c>
      <c r="L8" s="5">
        <v>4</v>
      </c>
      <c r="M8" s="5">
        <v>33</v>
      </c>
      <c r="N8" s="5">
        <v>3</v>
      </c>
      <c r="O8" s="5" t="s">
        <v>27</v>
      </c>
      <c r="P8" s="5" t="s">
        <v>27</v>
      </c>
      <c r="Q8" s="5">
        <v>5</v>
      </c>
      <c r="R8" s="5" t="s">
        <v>28</v>
      </c>
      <c r="S8" s="5" t="s">
        <v>27</v>
      </c>
    </row>
    <row r="9" spans="1:19" x14ac:dyDescent="0.35">
      <c r="A9" s="8" t="s">
        <v>56</v>
      </c>
      <c r="B9" s="6" t="s">
        <v>57</v>
      </c>
      <c r="C9" s="6" t="s">
        <v>31</v>
      </c>
      <c r="D9" s="6">
        <v>49</v>
      </c>
      <c r="E9" s="6" t="s">
        <v>55</v>
      </c>
      <c r="F9" s="6" t="s">
        <v>43</v>
      </c>
      <c r="G9" s="6" t="s">
        <v>24</v>
      </c>
      <c r="H9" s="6" t="s">
        <v>34</v>
      </c>
      <c r="I9" s="6">
        <v>11</v>
      </c>
      <c r="J9" s="6">
        <v>81888</v>
      </c>
      <c r="K9" s="6" t="s">
        <v>26</v>
      </c>
      <c r="L9" s="6">
        <v>4</v>
      </c>
      <c r="M9" s="6">
        <v>25</v>
      </c>
      <c r="N9" s="6">
        <v>6</v>
      </c>
      <c r="O9" s="6" t="s">
        <v>28</v>
      </c>
      <c r="P9" s="6" t="s">
        <v>27</v>
      </c>
      <c r="Q9" s="6">
        <v>5</v>
      </c>
      <c r="R9" s="6" t="s">
        <v>28</v>
      </c>
      <c r="S9" s="6" t="s">
        <v>27</v>
      </c>
    </row>
    <row r="10" spans="1:19" x14ac:dyDescent="0.35">
      <c r="A10" s="7" t="s">
        <v>58</v>
      </c>
      <c r="B10" s="5" t="s">
        <v>59</v>
      </c>
      <c r="C10" s="5" t="s">
        <v>21</v>
      </c>
      <c r="D10" s="5">
        <v>48</v>
      </c>
      <c r="E10" s="5" t="s">
        <v>38</v>
      </c>
      <c r="F10" s="5" t="s">
        <v>60</v>
      </c>
      <c r="G10" s="5" t="s">
        <v>44</v>
      </c>
      <c r="H10" s="5" t="s">
        <v>61</v>
      </c>
      <c r="I10" s="5">
        <v>19</v>
      </c>
      <c r="J10" s="5">
        <v>64723</v>
      </c>
      <c r="K10" s="5" t="s">
        <v>26</v>
      </c>
      <c r="L10" s="5">
        <v>4</v>
      </c>
      <c r="M10" s="5">
        <v>15</v>
      </c>
      <c r="N10" s="5">
        <v>5</v>
      </c>
      <c r="O10" s="5" t="s">
        <v>27</v>
      </c>
      <c r="P10" s="5" t="s">
        <v>28</v>
      </c>
      <c r="Q10" s="5">
        <v>2</v>
      </c>
      <c r="R10" s="5" t="s">
        <v>27</v>
      </c>
      <c r="S10" s="5" t="s">
        <v>27</v>
      </c>
    </row>
    <row r="11" spans="1:19" x14ac:dyDescent="0.35">
      <c r="A11" s="8" t="s">
        <v>62</v>
      </c>
      <c r="B11" s="6" t="s">
        <v>63</v>
      </c>
      <c r="C11" s="6" t="s">
        <v>21</v>
      </c>
      <c r="D11" s="6">
        <v>35</v>
      </c>
      <c r="E11" s="6" t="s">
        <v>55</v>
      </c>
      <c r="F11" s="6" t="s">
        <v>64</v>
      </c>
      <c r="G11" s="6" t="s">
        <v>24</v>
      </c>
      <c r="H11" s="6" t="s">
        <v>61</v>
      </c>
      <c r="I11" s="6">
        <v>5</v>
      </c>
      <c r="J11" s="6">
        <v>52115</v>
      </c>
      <c r="K11" s="6" t="s">
        <v>45</v>
      </c>
      <c r="L11" s="6">
        <v>8</v>
      </c>
      <c r="M11" s="6">
        <v>26</v>
      </c>
      <c r="N11" s="6">
        <v>8</v>
      </c>
      <c r="O11" s="6" t="s">
        <v>28</v>
      </c>
      <c r="P11" s="6" t="s">
        <v>27</v>
      </c>
      <c r="Q11" s="6">
        <v>4</v>
      </c>
      <c r="R11" s="6" t="s">
        <v>27</v>
      </c>
      <c r="S11" s="6" t="s">
        <v>27</v>
      </c>
    </row>
    <row r="12" spans="1:19" x14ac:dyDescent="0.35">
      <c r="A12" s="7" t="s">
        <v>67</v>
      </c>
      <c r="B12" s="5" t="s">
        <v>68</v>
      </c>
      <c r="C12" s="5" t="s">
        <v>21</v>
      </c>
      <c r="D12" s="5">
        <v>35</v>
      </c>
      <c r="E12" s="5" t="s">
        <v>55</v>
      </c>
      <c r="F12" s="5" t="s">
        <v>23</v>
      </c>
      <c r="G12" s="5" t="s">
        <v>69</v>
      </c>
      <c r="H12" s="5" t="s">
        <v>70</v>
      </c>
      <c r="I12" s="5">
        <v>7</v>
      </c>
      <c r="J12" s="5">
        <v>65556</v>
      </c>
      <c r="K12" s="5" t="s">
        <v>45</v>
      </c>
      <c r="L12" s="5">
        <v>8</v>
      </c>
      <c r="M12" s="5">
        <v>11</v>
      </c>
      <c r="N12" s="5">
        <v>4</v>
      </c>
      <c r="O12" s="5" t="s">
        <v>27</v>
      </c>
      <c r="P12" s="5" t="s">
        <v>28</v>
      </c>
      <c r="Q12" s="5">
        <v>2</v>
      </c>
      <c r="R12" s="5" t="s">
        <v>27</v>
      </c>
      <c r="S12" s="5" t="s">
        <v>27</v>
      </c>
    </row>
    <row r="13" spans="1:19" x14ac:dyDescent="0.35">
      <c r="A13" s="8" t="s">
        <v>71</v>
      </c>
      <c r="B13" s="6" t="s">
        <v>72</v>
      </c>
      <c r="C13" s="6" t="s">
        <v>31</v>
      </c>
      <c r="D13" s="6">
        <v>26</v>
      </c>
      <c r="E13" s="6" t="s">
        <v>55</v>
      </c>
      <c r="F13" s="6" t="s">
        <v>60</v>
      </c>
      <c r="G13" s="6" t="s">
        <v>24</v>
      </c>
      <c r="H13" s="6" t="s">
        <v>49</v>
      </c>
      <c r="I13" s="6">
        <v>2</v>
      </c>
      <c r="J13" s="6">
        <v>62067</v>
      </c>
      <c r="K13" s="6" t="s">
        <v>40</v>
      </c>
      <c r="L13" s="6">
        <v>1</v>
      </c>
      <c r="M13" s="6">
        <v>41</v>
      </c>
      <c r="N13" s="6">
        <v>0</v>
      </c>
      <c r="O13" s="6" t="s">
        <v>28</v>
      </c>
      <c r="P13" s="6" t="s">
        <v>28</v>
      </c>
      <c r="Q13" s="6">
        <v>2</v>
      </c>
      <c r="R13" s="6" t="s">
        <v>27</v>
      </c>
      <c r="S13" s="6" t="s">
        <v>27</v>
      </c>
    </row>
    <row r="14" spans="1:19" x14ac:dyDescent="0.35">
      <c r="A14" s="7" t="s">
        <v>73</v>
      </c>
      <c r="B14" s="5" t="s">
        <v>74</v>
      </c>
      <c r="C14" s="5" t="s">
        <v>31</v>
      </c>
      <c r="D14" s="5">
        <v>53</v>
      </c>
      <c r="E14" s="5" t="s">
        <v>38</v>
      </c>
      <c r="F14" s="5" t="s">
        <v>33</v>
      </c>
      <c r="G14" s="5" t="s">
        <v>24</v>
      </c>
      <c r="H14" s="5" t="s">
        <v>70</v>
      </c>
      <c r="I14" s="5">
        <v>14</v>
      </c>
      <c r="J14" s="5">
        <v>75991</v>
      </c>
      <c r="K14" s="5" t="s">
        <v>45</v>
      </c>
      <c r="L14" s="5">
        <v>4</v>
      </c>
      <c r="M14" s="5">
        <v>27</v>
      </c>
      <c r="N14" s="5">
        <v>4</v>
      </c>
      <c r="O14" s="5" t="s">
        <v>27</v>
      </c>
      <c r="P14" s="5" t="s">
        <v>27</v>
      </c>
      <c r="Q14" s="5">
        <v>1</v>
      </c>
      <c r="R14" s="5" t="s">
        <v>28</v>
      </c>
      <c r="S14" s="5" t="s">
        <v>27</v>
      </c>
    </row>
    <row r="15" spans="1:19" x14ac:dyDescent="0.35">
      <c r="A15" s="8" t="s">
        <v>75</v>
      </c>
      <c r="B15" s="6" t="s">
        <v>76</v>
      </c>
      <c r="C15" s="6" t="s">
        <v>21</v>
      </c>
      <c r="D15" s="6">
        <v>26</v>
      </c>
      <c r="E15" s="6" t="s">
        <v>32</v>
      </c>
      <c r="F15" s="6" t="s">
        <v>23</v>
      </c>
      <c r="G15" s="6" t="s">
        <v>44</v>
      </c>
      <c r="H15" s="6" t="s">
        <v>25</v>
      </c>
      <c r="I15" s="6">
        <v>4</v>
      </c>
      <c r="J15" s="6">
        <v>68492</v>
      </c>
      <c r="K15" s="6" t="s">
        <v>40</v>
      </c>
      <c r="L15" s="6">
        <v>6</v>
      </c>
      <c r="M15" s="6">
        <v>36</v>
      </c>
      <c r="N15" s="6">
        <v>4</v>
      </c>
      <c r="O15" s="6" t="s">
        <v>27</v>
      </c>
      <c r="P15" s="6" t="s">
        <v>27</v>
      </c>
      <c r="Q15" s="6">
        <v>5</v>
      </c>
      <c r="R15" s="6" t="s">
        <v>27</v>
      </c>
      <c r="S15" s="6" t="s">
        <v>27</v>
      </c>
    </row>
    <row r="16" spans="1:19" x14ac:dyDescent="0.35">
      <c r="A16" s="7" t="s">
        <v>77</v>
      </c>
      <c r="B16" s="5" t="s">
        <v>78</v>
      </c>
      <c r="C16" s="5" t="s">
        <v>31</v>
      </c>
      <c r="D16" s="5">
        <v>44</v>
      </c>
      <c r="E16" s="5" t="s">
        <v>38</v>
      </c>
      <c r="F16" s="5" t="s">
        <v>43</v>
      </c>
      <c r="G16" s="5" t="s">
        <v>24</v>
      </c>
      <c r="H16" s="5" t="s">
        <v>34</v>
      </c>
      <c r="I16" s="5">
        <v>13</v>
      </c>
      <c r="J16" s="5">
        <v>82000</v>
      </c>
      <c r="K16" s="5" t="s">
        <v>26</v>
      </c>
      <c r="L16" s="5">
        <v>1</v>
      </c>
      <c r="M16" s="5">
        <v>14</v>
      </c>
      <c r="N16" s="5">
        <v>3</v>
      </c>
      <c r="O16" s="5" t="s">
        <v>27</v>
      </c>
      <c r="P16" s="5" t="s">
        <v>27</v>
      </c>
      <c r="Q16" s="5">
        <v>4</v>
      </c>
      <c r="R16" s="5" t="s">
        <v>27</v>
      </c>
      <c r="S16" s="5" t="s">
        <v>27</v>
      </c>
    </row>
    <row r="17" spans="1:19" x14ac:dyDescent="0.35">
      <c r="A17" s="8" t="s">
        <v>79</v>
      </c>
      <c r="B17" s="6" t="s">
        <v>80</v>
      </c>
      <c r="C17" s="6" t="s">
        <v>21</v>
      </c>
      <c r="D17" s="6">
        <v>29</v>
      </c>
      <c r="E17" s="6" t="s">
        <v>55</v>
      </c>
      <c r="F17" s="6" t="s">
        <v>33</v>
      </c>
      <c r="G17" s="6" t="s">
        <v>24</v>
      </c>
      <c r="H17" s="6" t="s">
        <v>34</v>
      </c>
      <c r="I17" s="6">
        <v>4</v>
      </c>
      <c r="J17" s="6">
        <v>58545</v>
      </c>
      <c r="K17" s="6" t="s">
        <v>45</v>
      </c>
      <c r="L17" s="6">
        <v>1</v>
      </c>
      <c r="M17" s="6">
        <v>19</v>
      </c>
      <c r="N17" s="6">
        <v>5</v>
      </c>
      <c r="O17" s="6" t="s">
        <v>27</v>
      </c>
      <c r="P17" s="6" t="s">
        <v>28</v>
      </c>
      <c r="Q17" s="6">
        <v>2</v>
      </c>
      <c r="R17" s="6" t="s">
        <v>28</v>
      </c>
      <c r="S17" s="6" t="s">
        <v>28</v>
      </c>
    </row>
    <row r="18" spans="1:19" x14ac:dyDescent="0.35">
      <c r="A18" s="7" t="s">
        <v>81</v>
      </c>
      <c r="B18" s="5" t="s">
        <v>82</v>
      </c>
      <c r="C18" s="5" t="s">
        <v>31</v>
      </c>
      <c r="D18" s="5">
        <v>34</v>
      </c>
      <c r="E18" s="5" t="s">
        <v>55</v>
      </c>
      <c r="F18" s="5" t="s">
        <v>33</v>
      </c>
      <c r="G18" s="5" t="s">
        <v>24</v>
      </c>
      <c r="H18" s="5" t="s">
        <v>49</v>
      </c>
      <c r="I18" s="5">
        <v>6</v>
      </c>
      <c r="J18" s="5">
        <v>59412</v>
      </c>
      <c r="K18" s="5" t="s">
        <v>45</v>
      </c>
      <c r="L18" s="5">
        <v>8</v>
      </c>
      <c r="M18" s="5">
        <v>14</v>
      </c>
      <c r="N18" s="5">
        <v>3</v>
      </c>
      <c r="O18" s="5" t="s">
        <v>28</v>
      </c>
      <c r="P18" s="5" t="s">
        <v>28</v>
      </c>
      <c r="Q18" s="5">
        <v>2</v>
      </c>
      <c r="R18" s="5" t="s">
        <v>27</v>
      </c>
      <c r="S18" s="5" t="s">
        <v>27</v>
      </c>
    </row>
    <row r="19" spans="1:19" x14ac:dyDescent="0.35">
      <c r="A19" s="8" t="s">
        <v>83</v>
      </c>
      <c r="B19" s="6" t="s">
        <v>84</v>
      </c>
      <c r="C19" s="6" t="s">
        <v>21</v>
      </c>
      <c r="D19" s="6">
        <v>35</v>
      </c>
      <c r="E19" s="6" t="s">
        <v>55</v>
      </c>
      <c r="F19" s="6" t="s">
        <v>43</v>
      </c>
      <c r="G19" s="6" t="s">
        <v>24</v>
      </c>
      <c r="H19" s="6" t="s">
        <v>49</v>
      </c>
      <c r="I19" s="6">
        <v>6</v>
      </c>
      <c r="J19" s="6">
        <v>62147</v>
      </c>
      <c r="K19" s="6" t="s">
        <v>26</v>
      </c>
      <c r="L19" s="6">
        <v>3</v>
      </c>
      <c r="M19" s="6">
        <v>50</v>
      </c>
      <c r="N19" s="6">
        <v>5</v>
      </c>
      <c r="O19" s="6" t="s">
        <v>27</v>
      </c>
      <c r="P19" s="6" t="s">
        <v>28</v>
      </c>
      <c r="Q19" s="6">
        <v>2</v>
      </c>
      <c r="R19" s="6" t="s">
        <v>27</v>
      </c>
      <c r="S19" s="6" t="s">
        <v>27</v>
      </c>
    </row>
    <row r="20" spans="1:19" x14ac:dyDescent="0.35">
      <c r="A20" s="7" t="s">
        <v>85</v>
      </c>
      <c r="B20" s="5" t="s">
        <v>86</v>
      </c>
      <c r="C20" s="5" t="s">
        <v>31</v>
      </c>
      <c r="D20" s="5">
        <v>35</v>
      </c>
      <c r="E20" s="5" t="s">
        <v>55</v>
      </c>
      <c r="F20" s="5" t="s">
        <v>33</v>
      </c>
      <c r="G20" s="5" t="s">
        <v>24</v>
      </c>
      <c r="H20" s="5" t="s">
        <v>52</v>
      </c>
      <c r="I20" s="5">
        <v>11</v>
      </c>
      <c r="J20" s="5">
        <v>64949</v>
      </c>
      <c r="K20" s="5" t="s">
        <v>26</v>
      </c>
      <c r="L20" s="5">
        <v>7</v>
      </c>
      <c r="M20" s="5">
        <v>37</v>
      </c>
      <c r="N20" s="5">
        <v>6</v>
      </c>
      <c r="O20" s="5" t="s">
        <v>28</v>
      </c>
      <c r="P20" s="5" t="s">
        <v>28</v>
      </c>
      <c r="Q20" s="5">
        <v>1</v>
      </c>
      <c r="R20" s="5" t="s">
        <v>27</v>
      </c>
      <c r="S20" s="5" t="s">
        <v>27</v>
      </c>
    </row>
    <row r="21" spans="1:19" x14ac:dyDescent="0.35">
      <c r="A21" s="8" t="s">
        <v>87</v>
      </c>
      <c r="B21" s="6" t="s">
        <v>88</v>
      </c>
      <c r="C21" s="6" t="s">
        <v>21</v>
      </c>
      <c r="D21" s="6">
        <v>23</v>
      </c>
      <c r="E21" s="6" t="s">
        <v>55</v>
      </c>
      <c r="F21" s="6" t="s">
        <v>33</v>
      </c>
      <c r="G21" s="6" t="s">
        <v>24</v>
      </c>
      <c r="H21" s="6" t="s">
        <v>49</v>
      </c>
      <c r="I21" s="6">
        <v>2</v>
      </c>
      <c r="J21" s="6">
        <v>45625</v>
      </c>
      <c r="K21" s="6" t="s">
        <v>45</v>
      </c>
      <c r="L21" s="6">
        <v>1</v>
      </c>
      <c r="M21" s="6">
        <v>60</v>
      </c>
      <c r="N21" s="6">
        <v>1</v>
      </c>
      <c r="O21" s="6" t="s">
        <v>28</v>
      </c>
      <c r="P21" s="6" t="s">
        <v>28</v>
      </c>
      <c r="Q21" s="6">
        <v>4</v>
      </c>
      <c r="R21" s="6" t="s">
        <v>27</v>
      </c>
      <c r="S21" s="6" t="s">
        <v>27</v>
      </c>
    </row>
    <row r="22" spans="1:19" x14ac:dyDescent="0.35">
      <c r="A22" s="7" t="s">
        <v>89</v>
      </c>
      <c r="B22" s="5" t="s">
        <v>90</v>
      </c>
      <c r="C22" s="5" t="s">
        <v>31</v>
      </c>
      <c r="D22" s="5">
        <v>41</v>
      </c>
      <c r="E22" s="5" t="s">
        <v>55</v>
      </c>
      <c r="F22" s="5" t="s">
        <v>33</v>
      </c>
      <c r="G22" s="5" t="s">
        <v>44</v>
      </c>
      <c r="H22" s="5" t="s">
        <v>25</v>
      </c>
      <c r="I22" s="5">
        <v>16</v>
      </c>
      <c r="J22" s="5">
        <v>71425</v>
      </c>
      <c r="K22" s="5" t="s">
        <v>40</v>
      </c>
      <c r="L22" s="5">
        <v>4</v>
      </c>
      <c r="M22" s="5">
        <v>23</v>
      </c>
      <c r="N22" s="5">
        <v>7</v>
      </c>
      <c r="O22" s="5" t="s">
        <v>28</v>
      </c>
      <c r="P22" s="5" t="s">
        <v>27</v>
      </c>
      <c r="Q22" s="5">
        <v>1</v>
      </c>
      <c r="R22" s="5" t="s">
        <v>27</v>
      </c>
      <c r="S22" s="5" t="s">
        <v>28</v>
      </c>
    </row>
    <row r="23" spans="1:19" x14ac:dyDescent="0.35">
      <c r="A23" s="8" t="s">
        <v>91</v>
      </c>
      <c r="B23" s="6" t="s">
        <v>92</v>
      </c>
      <c r="C23" s="6" t="s">
        <v>21</v>
      </c>
      <c r="D23" s="6">
        <v>50</v>
      </c>
      <c r="E23" s="6" t="s">
        <v>55</v>
      </c>
      <c r="F23" s="6" t="s">
        <v>39</v>
      </c>
      <c r="G23" s="6" t="s">
        <v>69</v>
      </c>
      <c r="H23" s="6" t="s">
        <v>52</v>
      </c>
      <c r="I23" s="6">
        <v>14</v>
      </c>
      <c r="J23" s="6">
        <v>71060</v>
      </c>
      <c r="K23" s="6" t="s">
        <v>45</v>
      </c>
      <c r="L23" s="6">
        <v>1</v>
      </c>
      <c r="M23" s="6">
        <v>18</v>
      </c>
      <c r="N23" s="6">
        <v>4</v>
      </c>
      <c r="O23" s="6" t="s">
        <v>27</v>
      </c>
      <c r="P23" s="6" t="s">
        <v>28</v>
      </c>
      <c r="Q23" s="6">
        <v>3</v>
      </c>
      <c r="R23" s="6" t="s">
        <v>28</v>
      </c>
      <c r="S23" s="6" t="s">
        <v>28</v>
      </c>
    </row>
    <row r="24" spans="1:19" x14ac:dyDescent="0.35">
      <c r="A24" s="7" t="s">
        <v>93</v>
      </c>
      <c r="B24" s="5" t="s">
        <v>94</v>
      </c>
      <c r="C24" s="5" t="s">
        <v>31</v>
      </c>
      <c r="D24" s="5">
        <v>36</v>
      </c>
      <c r="E24" s="5" t="s">
        <v>55</v>
      </c>
      <c r="F24" s="5" t="s">
        <v>23</v>
      </c>
      <c r="G24" s="5" t="s">
        <v>44</v>
      </c>
      <c r="H24" s="5" t="s">
        <v>52</v>
      </c>
      <c r="I24" s="5">
        <v>7</v>
      </c>
      <c r="J24" s="5">
        <v>55216</v>
      </c>
      <c r="K24" s="5" t="s">
        <v>45</v>
      </c>
      <c r="L24" s="5">
        <v>1</v>
      </c>
      <c r="M24" s="5">
        <v>39</v>
      </c>
      <c r="N24" s="5">
        <v>1</v>
      </c>
      <c r="O24" s="5" t="s">
        <v>27</v>
      </c>
      <c r="P24" s="5" t="s">
        <v>28</v>
      </c>
      <c r="Q24" s="5">
        <v>5</v>
      </c>
      <c r="R24" s="5" t="s">
        <v>27</v>
      </c>
      <c r="S24" s="5" t="s">
        <v>27</v>
      </c>
    </row>
    <row r="25" spans="1:19" x14ac:dyDescent="0.35">
      <c r="A25" s="8" t="s">
        <v>95</v>
      </c>
      <c r="B25" s="6" t="s">
        <v>96</v>
      </c>
      <c r="C25" s="6" t="s">
        <v>21</v>
      </c>
      <c r="D25" s="6">
        <v>43</v>
      </c>
      <c r="E25" s="6" t="s">
        <v>55</v>
      </c>
      <c r="F25" s="6" t="s">
        <v>48</v>
      </c>
      <c r="G25" s="6" t="s">
        <v>24</v>
      </c>
      <c r="H25" s="6" t="s">
        <v>52</v>
      </c>
      <c r="I25" s="6">
        <v>13</v>
      </c>
      <c r="J25" s="6">
        <v>50676</v>
      </c>
      <c r="K25" s="6" t="s">
        <v>45</v>
      </c>
      <c r="L25" s="6">
        <v>4</v>
      </c>
      <c r="M25" s="6">
        <v>34</v>
      </c>
      <c r="N25" s="6">
        <v>4</v>
      </c>
      <c r="O25" s="6" t="s">
        <v>27</v>
      </c>
      <c r="P25" s="6" t="s">
        <v>28</v>
      </c>
      <c r="Q25" s="6">
        <v>2</v>
      </c>
      <c r="R25" s="6" t="s">
        <v>27</v>
      </c>
      <c r="S25" s="6" t="s">
        <v>27</v>
      </c>
    </row>
    <row r="26" spans="1:19" x14ac:dyDescent="0.35">
      <c r="A26" s="7" t="s">
        <v>97</v>
      </c>
      <c r="B26" s="5" t="s">
        <v>98</v>
      </c>
      <c r="C26" s="5" t="s">
        <v>31</v>
      </c>
      <c r="D26" s="5">
        <v>41</v>
      </c>
      <c r="E26" s="5" t="s">
        <v>55</v>
      </c>
      <c r="F26" s="5" t="s">
        <v>60</v>
      </c>
      <c r="G26" s="5" t="s">
        <v>24</v>
      </c>
      <c r="H26" s="5" t="s">
        <v>34</v>
      </c>
      <c r="I26" s="5">
        <v>7</v>
      </c>
      <c r="J26" s="5">
        <v>42979</v>
      </c>
      <c r="K26" s="5" t="s">
        <v>45</v>
      </c>
      <c r="L26" s="5">
        <v>4</v>
      </c>
      <c r="M26" s="5">
        <v>2</v>
      </c>
      <c r="N26" s="5">
        <v>5</v>
      </c>
      <c r="O26" s="5" t="s">
        <v>27</v>
      </c>
      <c r="P26" s="5" t="s">
        <v>28</v>
      </c>
      <c r="Q26" s="5">
        <v>2</v>
      </c>
      <c r="R26" s="5" t="s">
        <v>27</v>
      </c>
      <c r="S26" s="5" t="s">
        <v>27</v>
      </c>
    </row>
    <row r="27" spans="1:19" x14ac:dyDescent="0.35">
      <c r="A27" s="8" t="s">
        <v>99</v>
      </c>
      <c r="B27" s="6" t="s">
        <v>100</v>
      </c>
      <c r="C27" s="6" t="s">
        <v>31</v>
      </c>
      <c r="D27" s="6">
        <v>47</v>
      </c>
      <c r="E27" s="6" t="s">
        <v>38</v>
      </c>
      <c r="F27" s="6" t="s">
        <v>23</v>
      </c>
      <c r="G27" s="6" t="s">
        <v>24</v>
      </c>
      <c r="H27" s="6" t="s">
        <v>25</v>
      </c>
      <c r="I27" s="6">
        <v>19</v>
      </c>
      <c r="J27" s="6">
        <v>77478</v>
      </c>
      <c r="K27" s="6" t="s">
        <v>26</v>
      </c>
      <c r="L27" s="6">
        <v>1</v>
      </c>
      <c r="M27" s="6">
        <v>15</v>
      </c>
      <c r="N27" s="6">
        <v>1</v>
      </c>
      <c r="O27" s="6" t="s">
        <v>27</v>
      </c>
      <c r="P27" s="6" t="s">
        <v>28</v>
      </c>
      <c r="Q27" s="6">
        <v>3</v>
      </c>
      <c r="R27" s="6" t="s">
        <v>28</v>
      </c>
      <c r="S27" s="6" t="s">
        <v>27</v>
      </c>
    </row>
    <row r="28" spans="1:19" x14ac:dyDescent="0.35">
      <c r="A28" s="7" t="s">
        <v>101</v>
      </c>
      <c r="B28" s="5" t="s">
        <v>102</v>
      </c>
      <c r="C28" s="5" t="s">
        <v>21</v>
      </c>
      <c r="D28" s="5">
        <v>31</v>
      </c>
      <c r="E28" s="5" t="s">
        <v>55</v>
      </c>
      <c r="F28" s="5" t="s">
        <v>48</v>
      </c>
      <c r="G28" s="5" t="s">
        <v>24</v>
      </c>
      <c r="H28" s="5" t="s">
        <v>70</v>
      </c>
      <c r="I28" s="5">
        <v>7</v>
      </c>
      <c r="J28" s="5">
        <v>53535</v>
      </c>
      <c r="K28" s="5" t="s">
        <v>45</v>
      </c>
      <c r="L28" s="5">
        <v>8</v>
      </c>
      <c r="M28" s="5">
        <v>26</v>
      </c>
      <c r="N28" s="5">
        <v>2</v>
      </c>
      <c r="O28" s="5" t="s">
        <v>27</v>
      </c>
      <c r="P28" s="5" t="s">
        <v>28</v>
      </c>
      <c r="Q28" s="5">
        <v>5</v>
      </c>
      <c r="R28" s="5" t="s">
        <v>27</v>
      </c>
      <c r="S28" s="5" t="s">
        <v>27</v>
      </c>
    </row>
    <row r="29" spans="1:19" x14ac:dyDescent="0.35">
      <c r="A29" s="8" t="s">
        <v>103</v>
      </c>
      <c r="B29" s="6" t="s">
        <v>104</v>
      </c>
      <c r="C29" s="6" t="s">
        <v>21</v>
      </c>
      <c r="D29" s="6">
        <v>23</v>
      </c>
      <c r="E29" s="6" t="s">
        <v>55</v>
      </c>
      <c r="F29" s="6" t="s">
        <v>23</v>
      </c>
      <c r="G29" s="6" t="s">
        <v>24</v>
      </c>
      <c r="H29" s="6" t="s">
        <v>52</v>
      </c>
      <c r="I29" s="6">
        <v>1</v>
      </c>
      <c r="J29" s="6">
        <v>66593</v>
      </c>
      <c r="K29" s="6" t="s">
        <v>45</v>
      </c>
      <c r="L29" s="6">
        <v>10</v>
      </c>
      <c r="M29" s="6">
        <v>20</v>
      </c>
      <c r="N29" s="6">
        <v>5</v>
      </c>
      <c r="O29" s="6" t="s">
        <v>27</v>
      </c>
      <c r="P29" s="6" t="s">
        <v>28</v>
      </c>
      <c r="Q29" s="6">
        <v>2</v>
      </c>
      <c r="R29" s="6" t="s">
        <v>27</v>
      </c>
      <c r="S29" s="6" t="s">
        <v>27</v>
      </c>
    </row>
    <row r="30" spans="1:19" x14ac:dyDescent="0.35">
      <c r="A30" s="7" t="s">
        <v>105</v>
      </c>
      <c r="B30" s="5" t="s">
        <v>106</v>
      </c>
      <c r="C30" s="5" t="s">
        <v>21</v>
      </c>
      <c r="D30" s="5">
        <v>35</v>
      </c>
      <c r="E30" s="5" t="s">
        <v>22</v>
      </c>
      <c r="F30" s="5" t="s">
        <v>39</v>
      </c>
      <c r="G30" s="5" t="s">
        <v>24</v>
      </c>
      <c r="H30" s="5" t="s">
        <v>25</v>
      </c>
      <c r="I30" s="5">
        <v>8</v>
      </c>
      <c r="J30" s="5">
        <v>40704</v>
      </c>
      <c r="K30" s="5" t="s">
        <v>26</v>
      </c>
      <c r="L30" s="5">
        <v>1</v>
      </c>
      <c r="M30" s="5">
        <v>36</v>
      </c>
      <c r="N30" s="5">
        <v>3</v>
      </c>
      <c r="O30" s="5" t="s">
        <v>28</v>
      </c>
      <c r="P30" s="5" t="s">
        <v>27</v>
      </c>
      <c r="Q30" s="5">
        <v>1</v>
      </c>
      <c r="R30" s="5" t="s">
        <v>27</v>
      </c>
      <c r="S30" s="5" t="s">
        <v>27</v>
      </c>
    </row>
    <row r="31" spans="1:19" x14ac:dyDescent="0.35">
      <c r="A31" s="8" t="s">
        <v>107</v>
      </c>
      <c r="B31" s="6" t="s">
        <v>108</v>
      </c>
      <c r="C31" s="6" t="s">
        <v>31</v>
      </c>
      <c r="D31" s="6">
        <v>40</v>
      </c>
      <c r="E31" s="6" t="s">
        <v>38</v>
      </c>
      <c r="F31" s="6" t="s">
        <v>43</v>
      </c>
      <c r="G31" s="6" t="s">
        <v>24</v>
      </c>
      <c r="H31" s="6" t="s">
        <v>34</v>
      </c>
      <c r="I31" s="6">
        <v>9</v>
      </c>
      <c r="J31" s="6">
        <v>65443</v>
      </c>
      <c r="K31" s="6" t="s">
        <v>45</v>
      </c>
      <c r="L31" s="6">
        <v>8</v>
      </c>
      <c r="M31" s="6">
        <v>44</v>
      </c>
      <c r="N31" s="6">
        <v>6</v>
      </c>
      <c r="O31" s="6" t="s">
        <v>28</v>
      </c>
      <c r="P31" s="6" t="s">
        <v>27</v>
      </c>
      <c r="Q31" s="6">
        <v>2</v>
      </c>
      <c r="R31" s="6" t="s">
        <v>27</v>
      </c>
      <c r="S31" s="6" t="s">
        <v>27</v>
      </c>
    </row>
    <row r="32" spans="1:19" x14ac:dyDescent="0.35">
      <c r="A32" s="7" t="s">
        <v>109</v>
      </c>
      <c r="B32" s="5" t="s">
        <v>110</v>
      </c>
      <c r="C32" s="5" t="s">
        <v>21</v>
      </c>
      <c r="D32" s="5">
        <v>46</v>
      </c>
      <c r="E32" s="5" t="s">
        <v>38</v>
      </c>
      <c r="F32" s="5" t="s">
        <v>43</v>
      </c>
      <c r="G32" s="5" t="s">
        <v>24</v>
      </c>
      <c r="H32" s="5" t="s">
        <v>52</v>
      </c>
      <c r="I32" s="5">
        <v>17</v>
      </c>
      <c r="J32" s="5">
        <v>78832</v>
      </c>
      <c r="K32" s="5" t="s">
        <v>45</v>
      </c>
      <c r="L32" s="5">
        <v>6</v>
      </c>
      <c r="M32" s="5">
        <v>42</v>
      </c>
      <c r="N32" s="5">
        <v>5</v>
      </c>
      <c r="O32" s="5" t="s">
        <v>27</v>
      </c>
      <c r="P32" s="5" t="s">
        <v>28</v>
      </c>
      <c r="Q32" s="5">
        <v>3</v>
      </c>
      <c r="R32" s="5" t="s">
        <v>27</v>
      </c>
      <c r="S32" s="5" t="s">
        <v>27</v>
      </c>
    </row>
    <row r="33" spans="1:19" x14ac:dyDescent="0.35">
      <c r="A33" s="8" t="s">
        <v>111</v>
      </c>
      <c r="B33" s="6" t="s">
        <v>112</v>
      </c>
      <c r="C33" s="6" t="s">
        <v>31</v>
      </c>
      <c r="D33" s="6">
        <v>51</v>
      </c>
      <c r="E33" s="6" t="s">
        <v>55</v>
      </c>
      <c r="F33" s="6" t="s">
        <v>23</v>
      </c>
      <c r="G33" s="6" t="s">
        <v>24</v>
      </c>
      <c r="H33" s="6" t="s">
        <v>34</v>
      </c>
      <c r="I33" s="6">
        <v>18</v>
      </c>
      <c r="J33" s="6">
        <v>81878</v>
      </c>
      <c r="K33" s="6" t="s">
        <v>45</v>
      </c>
      <c r="L33" s="6">
        <v>10</v>
      </c>
      <c r="M33" s="6">
        <v>38</v>
      </c>
      <c r="N33" s="6">
        <v>4</v>
      </c>
      <c r="O33" s="6" t="s">
        <v>27</v>
      </c>
      <c r="P33" s="6" t="s">
        <v>28</v>
      </c>
      <c r="Q33" s="6">
        <v>3</v>
      </c>
      <c r="R33" s="6" t="s">
        <v>28</v>
      </c>
      <c r="S33" s="6" t="s">
        <v>27</v>
      </c>
    </row>
    <row r="34" spans="1:19" x14ac:dyDescent="0.35">
      <c r="A34" s="7" t="s">
        <v>113</v>
      </c>
      <c r="B34" s="5" t="s">
        <v>114</v>
      </c>
      <c r="C34" s="5" t="s">
        <v>31</v>
      </c>
      <c r="D34" s="5">
        <v>42</v>
      </c>
      <c r="E34" s="5" t="s">
        <v>38</v>
      </c>
      <c r="F34" s="5" t="s">
        <v>33</v>
      </c>
      <c r="G34" s="5" t="s">
        <v>69</v>
      </c>
      <c r="H34" s="5" t="s">
        <v>61</v>
      </c>
      <c r="I34" s="5">
        <v>8</v>
      </c>
      <c r="J34" s="5">
        <v>60371</v>
      </c>
      <c r="K34" s="5" t="s">
        <v>45</v>
      </c>
      <c r="L34" s="5">
        <v>4</v>
      </c>
      <c r="M34" s="5">
        <v>23</v>
      </c>
      <c r="N34" s="5">
        <v>5</v>
      </c>
      <c r="O34" s="5" t="s">
        <v>27</v>
      </c>
      <c r="P34" s="5" t="s">
        <v>27</v>
      </c>
      <c r="Q34" s="5">
        <v>2</v>
      </c>
      <c r="R34" s="5" t="s">
        <v>28</v>
      </c>
      <c r="S34" s="5" t="s">
        <v>27</v>
      </c>
    </row>
    <row r="35" spans="1:19" x14ac:dyDescent="0.35">
      <c r="A35" s="8" t="s">
        <v>115</v>
      </c>
      <c r="B35" s="6" t="s">
        <v>116</v>
      </c>
      <c r="C35" s="6" t="s">
        <v>31</v>
      </c>
      <c r="D35" s="6">
        <v>33</v>
      </c>
      <c r="E35" s="6" t="s">
        <v>55</v>
      </c>
      <c r="F35" s="6" t="s">
        <v>43</v>
      </c>
      <c r="G35" s="6" t="s">
        <v>24</v>
      </c>
      <c r="H35" s="6" t="s">
        <v>25</v>
      </c>
      <c r="I35" s="6">
        <v>5</v>
      </c>
      <c r="J35" s="6">
        <v>82000</v>
      </c>
      <c r="K35" s="6" t="s">
        <v>26</v>
      </c>
      <c r="L35" s="6">
        <v>9</v>
      </c>
      <c r="M35" s="6">
        <v>13</v>
      </c>
      <c r="N35" s="6">
        <v>3</v>
      </c>
      <c r="O35" s="6" t="s">
        <v>27</v>
      </c>
      <c r="P35" s="6" t="s">
        <v>28</v>
      </c>
      <c r="Q35" s="6">
        <v>4</v>
      </c>
      <c r="R35" s="6" t="s">
        <v>27</v>
      </c>
      <c r="S35" s="6" t="s">
        <v>27</v>
      </c>
    </row>
    <row r="36" spans="1:19" x14ac:dyDescent="0.35">
      <c r="A36" s="7" t="s">
        <v>117</v>
      </c>
      <c r="B36" s="5" t="s">
        <v>118</v>
      </c>
      <c r="C36" s="5" t="s">
        <v>31</v>
      </c>
      <c r="D36" s="5">
        <v>47</v>
      </c>
      <c r="E36" s="5" t="s">
        <v>55</v>
      </c>
      <c r="F36" s="5" t="s">
        <v>23</v>
      </c>
      <c r="G36" s="5" t="s">
        <v>24</v>
      </c>
      <c r="H36" s="5" t="s">
        <v>61</v>
      </c>
      <c r="I36" s="5">
        <v>11</v>
      </c>
      <c r="J36" s="5">
        <v>72841</v>
      </c>
      <c r="K36" s="5" t="s">
        <v>45</v>
      </c>
      <c r="L36" s="5">
        <v>7</v>
      </c>
      <c r="M36" s="5">
        <v>29</v>
      </c>
      <c r="N36" s="5">
        <v>4</v>
      </c>
      <c r="O36" s="5" t="s">
        <v>27</v>
      </c>
      <c r="P36" s="5" t="s">
        <v>27</v>
      </c>
      <c r="Q36" s="5">
        <v>1</v>
      </c>
      <c r="R36" s="5" t="s">
        <v>27</v>
      </c>
      <c r="S36" s="5" t="s">
        <v>27</v>
      </c>
    </row>
    <row r="37" spans="1:19" x14ac:dyDescent="0.35">
      <c r="A37" s="8" t="s">
        <v>119</v>
      </c>
      <c r="B37" s="6" t="s">
        <v>120</v>
      </c>
      <c r="C37" s="6" t="s">
        <v>31</v>
      </c>
      <c r="D37" s="6">
        <v>54</v>
      </c>
      <c r="E37" s="6" t="s">
        <v>55</v>
      </c>
      <c r="F37" s="6" t="s">
        <v>64</v>
      </c>
      <c r="G37" s="6" t="s">
        <v>24</v>
      </c>
      <c r="H37" s="6" t="s">
        <v>25</v>
      </c>
      <c r="I37" s="6">
        <v>26</v>
      </c>
      <c r="J37" s="6">
        <v>62585</v>
      </c>
      <c r="K37" s="6" t="s">
        <v>35</v>
      </c>
      <c r="L37" s="6">
        <v>8</v>
      </c>
      <c r="M37" s="6">
        <v>42</v>
      </c>
      <c r="N37" s="6">
        <v>3</v>
      </c>
      <c r="O37" s="6" t="s">
        <v>28</v>
      </c>
      <c r="P37" s="6" t="s">
        <v>27</v>
      </c>
      <c r="Q37" s="6">
        <v>1</v>
      </c>
      <c r="R37" s="6" t="s">
        <v>27</v>
      </c>
      <c r="S37" s="6" t="s">
        <v>27</v>
      </c>
    </row>
    <row r="38" spans="1:19" x14ac:dyDescent="0.35">
      <c r="A38" s="7" t="s">
        <v>121</v>
      </c>
      <c r="B38" s="5" t="s">
        <v>122</v>
      </c>
      <c r="C38" s="5" t="s">
        <v>21</v>
      </c>
      <c r="D38" s="5">
        <v>53</v>
      </c>
      <c r="E38" s="5" t="s">
        <v>22</v>
      </c>
      <c r="F38" s="5" t="s">
        <v>39</v>
      </c>
      <c r="G38" s="5" t="s">
        <v>44</v>
      </c>
      <c r="H38" s="5" t="s">
        <v>61</v>
      </c>
      <c r="I38" s="5">
        <v>24</v>
      </c>
      <c r="J38" s="5">
        <v>52035</v>
      </c>
      <c r="K38" s="5" t="s">
        <v>40</v>
      </c>
      <c r="L38" s="5">
        <v>1</v>
      </c>
      <c r="M38" s="5">
        <v>17</v>
      </c>
      <c r="N38" s="5">
        <v>6</v>
      </c>
      <c r="O38" s="5" t="s">
        <v>27</v>
      </c>
      <c r="P38" s="5" t="s">
        <v>28</v>
      </c>
      <c r="Q38" s="5">
        <v>5</v>
      </c>
      <c r="R38" s="5" t="s">
        <v>27</v>
      </c>
      <c r="S38" s="5" t="s">
        <v>28</v>
      </c>
    </row>
    <row r="39" spans="1:19" x14ac:dyDescent="0.35">
      <c r="A39" s="8" t="s">
        <v>123</v>
      </c>
      <c r="B39" s="6" t="s">
        <v>124</v>
      </c>
      <c r="C39" s="6" t="s">
        <v>31</v>
      </c>
      <c r="D39" s="6">
        <v>54</v>
      </c>
      <c r="E39" s="6" t="s">
        <v>55</v>
      </c>
      <c r="F39" s="6" t="s">
        <v>48</v>
      </c>
      <c r="G39" s="6" t="s">
        <v>24</v>
      </c>
      <c r="H39" s="6" t="s">
        <v>25</v>
      </c>
      <c r="I39" s="6">
        <v>22</v>
      </c>
      <c r="J39" s="6">
        <v>51695</v>
      </c>
      <c r="K39" s="6" t="s">
        <v>26</v>
      </c>
      <c r="L39" s="6">
        <v>4</v>
      </c>
      <c r="M39" s="6">
        <v>34</v>
      </c>
      <c r="N39" s="6">
        <v>6</v>
      </c>
      <c r="O39" s="6" t="s">
        <v>27</v>
      </c>
      <c r="P39" s="6" t="s">
        <v>27</v>
      </c>
      <c r="Q39" s="6">
        <v>3</v>
      </c>
      <c r="R39" s="6" t="s">
        <v>27</v>
      </c>
      <c r="S39" s="6" t="s">
        <v>27</v>
      </c>
    </row>
    <row r="40" spans="1:19" x14ac:dyDescent="0.35">
      <c r="A40" s="7" t="s">
        <v>125</v>
      </c>
      <c r="B40" s="5" t="s">
        <v>126</v>
      </c>
      <c r="C40" s="5" t="s">
        <v>31</v>
      </c>
      <c r="D40" s="5">
        <v>54</v>
      </c>
      <c r="E40" s="5" t="s">
        <v>22</v>
      </c>
      <c r="F40" s="5" t="s">
        <v>39</v>
      </c>
      <c r="G40" s="5" t="s">
        <v>69</v>
      </c>
      <c r="H40" s="5" t="s">
        <v>61</v>
      </c>
      <c r="I40" s="5">
        <v>12</v>
      </c>
      <c r="J40" s="5">
        <v>45204</v>
      </c>
      <c r="K40" s="5" t="s">
        <v>35</v>
      </c>
      <c r="L40" s="5">
        <v>2</v>
      </c>
      <c r="M40" s="5">
        <v>20</v>
      </c>
      <c r="N40" s="5">
        <v>1</v>
      </c>
      <c r="O40" s="5" t="s">
        <v>27</v>
      </c>
      <c r="P40" s="5" t="s">
        <v>28</v>
      </c>
      <c r="Q40" s="5">
        <v>3</v>
      </c>
      <c r="R40" s="5" t="s">
        <v>27</v>
      </c>
      <c r="S40" s="5" t="s">
        <v>27</v>
      </c>
    </row>
    <row r="41" spans="1:19" x14ac:dyDescent="0.35">
      <c r="A41" s="8" t="s">
        <v>127</v>
      </c>
      <c r="B41" s="6" t="s">
        <v>128</v>
      </c>
      <c r="C41" s="6" t="s">
        <v>31</v>
      </c>
      <c r="D41" s="6">
        <v>53</v>
      </c>
      <c r="E41" s="6" t="s">
        <v>38</v>
      </c>
      <c r="F41" s="6" t="s">
        <v>60</v>
      </c>
      <c r="G41" s="6" t="s">
        <v>69</v>
      </c>
      <c r="H41" s="6" t="s">
        <v>70</v>
      </c>
      <c r="I41" s="6">
        <v>17</v>
      </c>
      <c r="J41" s="6">
        <v>74139</v>
      </c>
      <c r="K41" s="6" t="s">
        <v>26</v>
      </c>
      <c r="L41" s="6">
        <v>4</v>
      </c>
      <c r="M41" s="6">
        <v>55</v>
      </c>
      <c r="N41" s="6">
        <v>6</v>
      </c>
      <c r="O41" s="6" t="s">
        <v>27</v>
      </c>
      <c r="P41" s="6" t="s">
        <v>28</v>
      </c>
      <c r="Q41" s="6">
        <v>4</v>
      </c>
      <c r="R41" s="6" t="s">
        <v>27</v>
      </c>
      <c r="S41" s="6" t="s">
        <v>27</v>
      </c>
    </row>
    <row r="42" spans="1:19" x14ac:dyDescent="0.35">
      <c r="A42" s="7" t="s">
        <v>129</v>
      </c>
      <c r="B42" s="5" t="s">
        <v>130</v>
      </c>
      <c r="C42" s="5" t="s">
        <v>21</v>
      </c>
      <c r="D42" s="5">
        <v>23</v>
      </c>
      <c r="E42" s="5" t="s">
        <v>22</v>
      </c>
      <c r="F42" s="5" t="s">
        <v>43</v>
      </c>
      <c r="G42" s="5" t="s">
        <v>24</v>
      </c>
      <c r="H42" s="5" t="s">
        <v>131</v>
      </c>
      <c r="I42" s="5">
        <v>2</v>
      </c>
      <c r="J42" s="5">
        <v>66494</v>
      </c>
      <c r="K42" s="5" t="s">
        <v>35</v>
      </c>
      <c r="L42" s="5">
        <v>10</v>
      </c>
      <c r="M42" s="5">
        <v>16</v>
      </c>
      <c r="N42" s="5">
        <v>4</v>
      </c>
      <c r="O42" s="5" t="s">
        <v>27</v>
      </c>
      <c r="P42" s="5" t="s">
        <v>28</v>
      </c>
      <c r="Q42" s="5">
        <v>4</v>
      </c>
      <c r="R42" s="5" t="s">
        <v>28</v>
      </c>
      <c r="S42" s="5" t="s">
        <v>27</v>
      </c>
    </row>
    <row r="43" spans="1:19" x14ac:dyDescent="0.35">
      <c r="A43" s="8" t="s">
        <v>132</v>
      </c>
      <c r="B43" s="6" t="s">
        <v>133</v>
      </c>
      <c r="C43" s="6" t="s">
        <v>31</v>
      </c>
      <c r="D43" s="6">
        <v>27</v>
      </c>
      <c r="E43" s="6" t="s">
        <v>55</v>
      </c>
      <c r="F43" s="6" t="s">
        <v>33</v>
      </c>
      <c r="G43" s="6" t="s">
        <v>44</v>
      </c>
      <c r="H43" s="6" t="s">
        <v>70</v>
      </c>
      <c r="I43" s="6">
        <v>2</v>
      </c>
      <c r="J43" s="6">
        <v>52478</v>
      </c>
      <c r="K43" s="6" t="s">
        <v>45</v>
      </c>
      <c r="L43" s="6">
        <v>4</v>
      </c>
      <c r="M43" s="6">
        <v>21</v>
      </c>
      <c r="N43" s="6">
        <v>3</v>
      </c>
      <c r="O43" s="6" t="s">
        <v>27</v>
      </c>
      <c r="P43" s="6" t="s">
        <v>28</v>
      </c>
      <c r="Q43" s="6">
        <v>1</v>
      </c>
      <c r="R43" s="6" t="s">
        <v>27</v>
      </c>
      <c r="S43" s="6" t="s">
        <v>27</v>
      </c>
    </row>
    <row r="44" spans="1:19" x14ac:dyDescent="0.35">
      <c r="A44" s="7" t="s">
        <v>134</v>
      </c>
      <c r="B44" s="5" t="s">
        <v>135</v>
      </c>
      <c r="C44" s="5" t="s">
        <v>21</v>
      </c>
      <c r="D44" s="5">
        <v>37</v>
      </c>
      <c r="E44" s="5" t="s">
        <v>55</v>
      </c>
      <c r="F44" s="5" t="s">
        <v>48</v>
      </c>
      <c r="G44" s="5" t="s">
        <v>24</v>
      </c>
      <c r="H44" s="5" t="s">
        <v>131</v>
      </c>
      <c r="I44" s="5">
        <v>11</v>
      </c>
      <c r="J44" s="5">
        <v>49861</v>
      </c>
      <c r="K44" s="5" t="s">
        <v>26</v>
      </c>
      <c r="L44" s="5">
        <v>8</v>
      </c>
      <c r="M44" s="5">
        <v>26</v>
      </c>
      <c r="N44" s="5">
        <v>5</v>
      </c>
      <c r="O44" s="5" t="s">
        <v>27</v>
      </c>
      <c r="P44" s="5" t="s">
        <v>28</v>
      </c>
      <c r="Q44" s="5">
        <v>2</v>
      </c>
      <c r="R44" s="5" t="s">
        <v>27</v>
      </c>
      <c r="S44" s="5" t="s">
        <v>27</v>
      </c>
    </row>
    <row r="45" spans="1:19" x14ac:dyDescent="0.35">
      <c r="A45" s="8" t="s">
        <v>136</v>
      </c>
      <c r="B45" s="6" t="s">
        <v>137</v>
      </c>
      <c r="C45" s="6" t="s">
        <v>21</v>
      </c>
      <c r="D45" s="6">
        <v>21</v>
      </c>
      <c r="E45" s="6" t="s">
        <v>55</v>
      </c>
      <c r="F45" s="6" t="s">
        <v>33</v>
      </c>
      <c r="G45" s="6" t="s">
        <v>24</v>
      </c>
      <c r="H45" s="6" t="s">
        <v>25</v>
      </c>
      <c r="I45" s="6">
        <v>0</v>
      </c>
      <c r="J45" s="6">
        <v>63759</v>
      </c>
      <c r="K45" s="6" t="s">
        <v>45</v>
      </c>
      <c r="L45" s="6">
        <v>6</v>
      </c>
      <c r="M45" s="6">
        <v>26</v>
      </c>
      <c r="N45" s="6">
        <v>1</v>
      </c>
      <c r="O45" s="6" t="s">
        <v>28</v>
      </c>
      <c r="P45" s="6" t="s">
        <v>27</v>
      </c>
      <c r="Q45" s="6">
        <v>4</v>
      </c>
      <c r="R45" s="6" t="s">
        <v>27</v>
      </c>
      <c r="S45" s="6" t="s">
        <v>27</v>
      </c>
    </row>
    <row r="46" spans="1:19" x14ac:dyDescent="0.35">
      <c r="A46" s="7" t="s">
        <v>138</v>
      </c>
      <c r="B46" s="5" t="s">
        <v>139</v>
      </c>
      <c r="C46" s="5" t="s">
        <v>31</v>
      </c>
      <c r="D46" s="5">
        <v>53</v>
      </c>
      <c r="E46" s="5" t="s">
        <v>55</v>
      </c>
      <c r="F46" s="5" t="s">
        <v>60</v>
      </c>
      <c r="G46" s="5" t="s">
        <v>24</v>
      </c>
      <c r="H46" s="5" t="s">
        <v>34</v>
      </c>
      <c r="I46" s="5">
        <v>26</v>
      </c>
      <c r="J46" s="5">
        <v>68736</v>
      </c>
      <c r="K46" s="5" t="s">
        <v>45</v>
      </c>
      <c r="L46" s="5">
        <v>10</v>
      </c>
      <c r="M46" s="5">
        <v>28</v>
      </c>
      <c r="N46" s="5">
        <v>6</v>
      </c>
      <c r="O46" s="5" t="s">
        <v>28</v>
      </c>
      <c r="P46" s="5" t="s">
        <v>28</v>
      </c>
      <c r="Q46" s="5">
        <v>3</v>
      </c>
      <c r="R46" s="5" t="s">
        <v>27</v>
      </c>
      <c r="S46" s="5" t="s">
        <v>27</v>
      </c>
    </row>
    <row r="47" spans="1:19" x14ac:dyDescent="0.35">
      <c r="A47" s="8" t="s">
        <v>140</v>
      </c>
      <c r="B47" s="6" t="s">
        <v>141</v>
      </c>
      <c r="C47" s="6" t="s">
        <v>31</v>
      </c>
      <c r="D47" s="6">
        <v>21</v>
      </c>
      <c r="E47" s="6" t="s">
        <v>55</v>
      </c>
      <c r="F47" s="6" t="s">
        <v>23</v>
      </c>
      <c r="G47" s="6" t="s">
        <v>24</v>
      </c>
      <c r="H47" s="6" t="s">
        <v>25</v>
      </c>
      <c r="I47" s="6">
        <v>0</v>
      </c>
      <c r="J47" s="6">
        <v>65158</v>
      </c>
      <c r="K47" s="6" t="s">
        <v>45</v>
      </c>
      <c r="L47" s="6">
        <v>8</v>
      </c>
      <c r="M47" s="6">
        <v>20</v>
      </c>
      <c r="N47" s="6">
        <v>3</v>
      </c>
      <c r="O47" s="6" t="s">
        <v>28</v>
      </c>
      <c r="P47" s="6" t="s">
        <v>28</v>
      </c>
      <c r="Q47" s="6">
        <v>3</v>
      </c>
      <c r="R47" s="6" t="s">
        <v>27</v>
      </c>
      <c r="S47" s="6" t="s">
        <v>27</v>
      </c>
    </row>
    <row r="48" spans="1:19" x14ac:dyDescent="0.35">
      <c r="A48" s="7" t="s">
        <v>142</v>
      </c>
      <c r="B48" s="5" t="s">
        <v>143</v>
      </c>
      <c r="C48" s="5" t="s">
        <v>21</v>
      </c>
      <c r="D48" s="5">
        <v>49</v>
      </c>
      <c r="E48" s="5" t="s">
        <v>55</v>
      </c>
      <c r="F48" s="5" t="s">
        <v>43</v>
      </c>
      <c r="G48" s="5" t="s">
        <v>24</v>
      </c>
      <c r="H48" s="5" t="s">
        <v>52</v>
      </c>
      <c r="I48" s="5">
        <v>22</v>
      </c>
      <c r="J48" s="5">
        <v>82000</v>
      </c>
      <c r="K48" s="5" t="s">
        <v>35</v>
      </c>
      <c r="L48" s="5">
        <v>5</v>
      </c>
      <c r="M48" s="5">
        <v>43</v>
      </c>
      <c r="N48" s="5">
        <v>8</v>
      </c>
      <c r="O48" s="5" t="s">
        <v>27</v>
      </c>
      <c r="P48" s="5" t="s">
        <v>27</v>
      </c>
      <c r="Q48" s="5">
        <v>1</v>
      </c>
      <c r="R48" s="5" t="s">
        <v>27</v>
      </c>
      <c r="S48" s="5" t="s">
        <v>27</v>
      </c>
    </row>
    <row r="49" spans="1:19" x14ac:dyDescent="0.35">
      <c r="A49" s="8" t="s">
        <v>144</v>
      </c>
      <c r="B49" s="6" t="s">
        <v>145</v>
      </c>
      <c r="C49" s="6" t="s">
        <v>21</v>
      </c>
      <c r="D49" s="6">
        <v>32</v>
      </c>
      <c r="E49" s="6" t="s">
        <v>55</v>
      </c>
      <c r="F49" s="6" t="s">
        <v>43</v>
      </c>
      <c r="G49" s="6" t="s">
        <v>69</v>
      </c>
      <c r="H49" s="6" t="s">
        <v>131</v>
      </c>
      <c r="I49" s="6">
        <v>8</v>
      </c>
      <c r="J49" s="6">
        <v>61393</v>
      </c>
      <c r="K49" s="6" t="s">
        <v>45</v>
      </c>
      <c r="L49" s="6">
        <v>2</v>
      </c>
      <c r="M49" s="6">
        <v>11</v>
      </c>
      <c r="N49" s="6">
        <v>5</v>
      </c>
      <c r="O49" s="6" t="s">
        <v>28</v>
      </c>
      <c r="P49" s="6" t="s">
        <v>28</v>
      </c>
      <c r="Q49" s="6">
        <v>5</v>
      </c>
      <c r="R49" s="6" t="s">
        <v>27</v>
      </c>
      <c r="S49" s="6" t="s">
        <v>27</v>
      </c>
    </row>
    <row r="50" spans="1:19" x14ac:dyDescent="0.35">
      <c r="A50" s="7" t="s">
        <v>146</v>
      </c>
      <c r="B50" s="5" t="s">
        <v>147</v>
      </c>
      <c r="C50" s="5" t="s">
        <v>21</v>
      </c>
      <c r="D50" s="5">
        <v>38</v>
      </c>
      <c r="E50" s="5" t="s">
        <v>55</v>
      </c>
      <c r="F50" s="5" t="s">
        <v>48</v>
      </c>
      <c r="G50" s="5" t="s">
        <v>24</v>
      </c>
      <c r="H50" s="5" t="s">
        <v>131</v>
      </c>
      <c r="I50" s="5">
        <v>14</v>
      </c>
      <c r="J50" s="5">
        <v>43290</v>
      </c>
      <c r="K50" s="5" t="s">
        <v>40</v>
      </c>
      <c r="L50" s="5">
        <v>6</v>
      </c>
      <c r="M50" s="5">
        <v>18</v>
      </c>
      <c r="N50" s="5">
        <v>3</v>
      </c>
      <c r="O50" s="5" t="s">
        <v>27</v>
      </c>
      <c r="P50" s="5" t="s">
        <v>27</v>
      </c>
      <c r="Q50" s="5">
        <v>1</v>
      </c>
      <c r="R50" s="5" t="s">
        <v>28</v>
      </c>
      <c r="S50" s="5" t="s">
        <v>27</v>
      </c>
    </row>
    <row r="51" spans="1:19" x14ac:dyDescent="0.35">
      <c r="A51" s="8" t="s">
        <v>148</v>
      </c>
      <c r="B51" s="6" t="s">
        <v>149</v>
      </c>
      <c r="C51" s="6" t="s">
        <v>31</v>
      </c>
      <c r="D51" s="6">
        <v>42</v>
      </c>
      <c r="E51" s="6" t="s">
        <v>55</v>
      </c>
      <c r="F51" s="6" t="s">
        <v>48</v>
      </c>
      <c r="G51" s="6" t="s">
        <v>24</v>
      </c>
      <c r="H51" s="6" t="s">
        <v>52</v>
      </c>
      <c r="I51" s="6">
        <v>9</v>
      </c>
      <c r="J51" s="6">
        <v>43441</v>
      </c>
      <c r="K51" s="6" t="s">
        <v>40</v>
      </c>
      <c r="L51" s="6">
        <v>3</v>
      </c>
      <c r="M51" s="6">
        <v>18</v>
      </c>
      <c r="N51" s="6">
        <v>5</v>
      </c>
      <c r="O51" s="6" t="s">
        <v>27</v>
      </c>
      <c r="P51" s="6" t="s">
        <v>27</v>
      </c>
      <c r="Q51" s="6">
        <v>3</v>
      </c>
      <c r="R51" s="6" t="s">
        <v>28</v>
      </c>
      <c r="S51" s="6" t="s">
        <v>27</v>
      </c>
    </row>
    <row r="52" spans="1:19" x14ac:dyDescent="0.35">
      <c r="A52" s="7" t="s">
        <v>150</v>
      </c>
      <c r="B52" s="5" t="s">
        <v>151</v>
      </c>
      <c r="C52" s="5" t="s">
        <v>31</v>
      </c>
      <c r="D52" s="5">
        <v>47</v>
      </c>
      <c r="E52" s="5" t="s">
        <v>38</v>
      </c>
      <c r="F52" s="5" t="s">
        <v>23</v>
      </c>
      <c r="G52" s="5" t="s">
        <v>24</v>
      </c>
      <c r="H52" s="5" t="s">
        <v>70</v>
      </c>
      <c r="I52" s="5">
        <v>18</v>
      </c>
      <c r="J52" s="5">
        <v>74705</v>
      </c>
      <c r="K52" s="5" t="s">
        <v>45</v>
      </c>
      <c r="L52" s="5">
        <v>6</v>
      </c>
      <c r="M52" s="5">
        <v>8</v>
      </c>
      <c r="N52" s="5">
        <v>4</v>
      </c>
      <c r="O52" s="5" t="s">
        <v>27</v>
      </c>
      <c r="P52" s="5" t="s">
        <v>28</v>
      </c>
      <c r="Q52" s="5">
        <v>2</v>
      </c>
      <c r="R52" s="5" t="s">
        <v>27</v>
      </c>
      <c r="S52" s="5" t="s">
        <v>27</v>
      </c>
    </row>
    <row r="53" spans="1:19" x14ac:dyDescent="0.35">
      <c r="A53" s="8" t="s">
        <v>152</v>
      </c>
      <c r="B53" s="6" t="s">
        <v>153</v>
      </c>
      <c r="C53" s="6" t="s">
        <v>21</v>
      </c>
      <c r="D53" s="6">
        <v>33</v>
      </c>
      <c r="E53" s="6" t="s">
        <v>22</v>
      </c>
      <c r="F53" s="6" t="s">
        <v>39</v>
      </c>
      <c r="G53" s="6" t="s">
        <v>24</v>
      </c>
      <c r="H53" s="6" t="s">
        <v>131</v>
      </c>
      <c r="I53" s="6">
        <v>7</v>
      </c>
      <c r="J53" s="6">
        <v>53768</v>
      </c>
      <c r="K53" s="6" t="s">
        <v>35</v>
      </c>
      <c r="L53" s="6">
        <v>4</v>
      </c>
      <c r="M53" s="6">
        <v>26</v>
      </c>
      <c r="N53" s="6">
        <v>8</v>
      </c>
      <c r="O53" s="6" t="s">
        <v>28</v>
      </c>
      <c r="P53" s="6" t="s">
        <v>28</v>
      </c>
      <c r="Q53" s="6">
        <v>5</v>
      </c>
      <c r="R53" s="6" t="s">
        <v>27</v>
      </c>
      <c r="S53" s="6" t="s">
        <v>27</v>
      </c>
    </row>
    <row r="54" spans="1:19" x14ac:dyDescent="0.35">
      <c r="A54" s="7" t="s">
        <v>154</v>
      </c>
      <c r="B54" s="5" t="s">
        <v>155</v>
      </c>
      <c r="C54" s="5" t="s">
        <v>31</v>
      </c>
      <c r="D54" s="5">
        <v>55</v>
      </c>
      <c r="E54" s="5" t="s">
        <v>22</v>
      </c>
      <c r="F54" s="5" t="s">
        <v>64</v>
      </c>
      <c r="G54" s="5" t="s">
        <v>24</v>
      </c>
      <c r="H54" s="5" t="s">
        <v>25</v>
      </c>
      <c r="I54" s="5">
        <v>16</v>
      </c>
      <c r="J54" s="5">
        <v>61913</v>
      </c>
      <c r="K54" s="5" t="s">
        <v>45</v>
      </c>
      <c r="L54" s="5">
        <v>10</v>
      </c>
      <c r="M54" s="5">
        <v>32</v>
      </c>
      <c r="N54" s="5">
        <v>3</v>
      </c>
      <c r="O54" s="5" t="s">
        <v>28</v>
      </c>
      <c r="P54" s="5" t="s">
        <v>28</v>
      </c>
      <c r="Q54" s="5">
        <v>3</v>
      </c>
      <c r="R54" s="5" t="s">
        <v>28</v>
      </c>
      <c r="S54" s="5" t="s">
        <v>27</v>
      </c>
    </row>
    <row r="55" spans="1:19" x14ac:dyDescent="0.35">
      <c r="A55" s="8" t="s">
        <v>156</v>
      </c>
      <c r="B55" s="6" t="s">
        <v>157</v>
      </c>
      <c r="C55" s="6" t="s">
        <v>31</v>
      </c>
      <c r="D55" s="6">
        <v>26</v>
      </c>
      <c r="E55" s="6" t="s">
        <v>38</v>
      </c>
      <c r="F55" s="6" t="s">
        <v>39</v>
      </c>
      <c r="G55" s="6" t="s">
        <v>24</v>
      </c>
      <c r="H55" s="6" t="s">
        <v>52</v>
      </c>
      <c r="I55" s="6">
        <v>2</v>
      </c>
      <c r="J55" s="6">
        <v>47365</v>
      </c>
      <c r="K55" s="6" t="s">
        <v>35</v>
      </c>
      <c r="L55" s="6">
        <v>3</v>
      </c>
      <c r="M55" s="6">
        <v>24</v>
      </c>
      <c r="N55" s="6">
        <v>6</v>
      </c>
      <c r="O55" s="6" t="s">
        <v>28</v>
      </c>
      <c r="P55" s="6" t="s">
        <v>28</v>
      </c>
      <c r="Q55" s="6">
        <v>3</v>
      </c>
      <c r="R55" s="6" t="s">
        <v>27</v>
      </c>
      <c r="S55" s="6" t="s">
        <v>28</v>
      </c>
    </row>
    <row r="56" spans="1:19" x14ac:dyDescent="0.35">
      <c r="A56" s="7" t="s">
        <v>158</v>
      </c>
      <c r="B56" s="5" t="s">
        <v>159</v>
      </c>
      <c r="C56" s="5" t="s">
        <v>21</v>
      </c>
      <c r="D56" s="5">
        <v>29</v>
      </c>
      <c r="E56" s="5" t="s">
        <v>22</v>
      </c>
      <c r="F56" s="5" t="s">
        <v>64</v>
      </c>
      <c r="G56" s="5" t="s">
        <v>69</v>
      </c>
      <c r="H56" s="5" t="s">
        <v>49</v>
      </c>
      <c r="I56" s="5">
        <v>3</v>
      </c>
      <c r="J56" s="5">
        <v>64131</v>
      </c>
      <c r="K56" s="5" t="s">
        <v>45</v>
      </c>
      <c r="L56" s="5">
        <v>3</v>
      </c>
      <c r="M56" s="5">
        <v>59</v>
      </c>
      <c r="N56" s="5">
        <v>0</v>
      </c>
      <c r="O56" s="5" t="s">
        <v>27</v>
      </c>
      <c r="P56" s="5" t="s">
        <v>27</v>
      </c>
      <c r="Q56" s="5">
        <v>1</v>
      </c>
      <c r="R56" s="5" t="s">
        <v>27</v>
      </c>
      <c r="S56" s="5" t="s">
        <v>27</v>
      </c>
    </row>
    <row r="57" spans="1:19" x14ac:dyDescent="0.35">
      <c r="A57" s="8" t="s">
        <v>160</v>
      </c>
      <c r="B57" s="6" t="s">
        <v>161</v>
      </c>
      <c r="C57" s="6" t="s">
        <v>31</v>
      </c>
      <c r="D57" s="6">
        <v>39</v>
      </c>
      <c r="E57" s="6" t="s">
        <v>55</v>
      </c>
      <c r="F57" s="6" t="s">
        <v>39</v>
      </c>
      <c r="G57" s="6" t="s">
        <v>24</v>
      </c>
      <c r="H57" s="6" t="s">
        <v>49</v>
      </c>
      <c r="I57" s="6">
        <v>7</v>
      </c>
      <c r="J57" s="6">
        <v>57399</v>
      </c>
      <c r="K57" s="6" t="s">
        <v>45</v>
      </c>
      <c r="L57" s="6">
        <v>8</v>
      </c>
      <c r="M57" s="6">
        <v>26</v>
      </c>
      <c r="N57" s="6">
        <v>2</v>
      </c>
      <c r="O57" s="6" t="s">
        <v>27</v>
      </c>
      <c r="P57" s="6" t="s">
        <v>28</v>
      </c>
      <c r="Q57" s="6">
        <v>1</v>
      </c>
      <c r="R57" s="6" t="s">
        <v>27</v>
      </c>
      <c r="S57" s="6" t="s">
        <v>27</v>
      </c>
    </row>
    <row r="58" spans="1:19" x14ac:dyDescent="0.35">
      <c r="A58" s="7" t="s">
        <v>162</v>
      </c>
      <c r="B58" s="5" t="s">
        <v>163</v>
      </c>
      <c r="C58" s="5" t="s">
        <v>31</v>
      </c>
      <c r="D58" s="5">
        <v>27</v>
      </c>
      <c r="E58" s="5" t="s">
        <v>55</v>
      </c>
      <c r="F58" s="5" t="s">
        <v>43</v>
      </c>
      <c r="G58" s="5" t="s">
        <v>69</v>
      </c>
      <c r="H58" s="5" t="s">
        <v>131</v>
      </c>
      <c r="I58" s="5">
        <v>3</v>
      </c>
      <c r="J58" s="5">
        <v>65595</v>
      </c>
      <c r="K58" s="5" t="s">
        <v>26</v>
      </c>
      <c r="L58" s="5">
        <v>2</v>
      </c>
      <c r="M58" s="5">
        <v>24</v>
      </c>
      <c r="N58" s="5">
        <v>4</v>
      </c>
      <c r="O58" s="5" t="s">
        <v>27</v>
      </c>
      <c r="P58" s="5" t="s">
        <v>28</v>
      </c>
      <c r="Q58" s="5">
        <v>4</v>
      </c>
      <c r="R58" s="5" t="s">
        <v>27</v>
      </c>
      <c r="S58" s="5" t="s">
        <v>27</v>
      </c>
    </row>
    <row r="59" spans="1:19" x14ac:dyDescent="0.35">
      <c r="A59" s="8" t="s">
        <v>164</v>
      </c>
      <c r="B59" s="6" t="s">
        <v>165</v>
      </c>
      <c r="C59" s="6" t="s">
        <v>31</v>
      </c>
      <c r="D59" s="6">
        <v>36</v>
      </c>
      <c r="E59" s="6" t="s">
        <v>22</v>
      </c>
      <c r="F59" s="6" t="s">
        <v>39</v>
      </c>
      <c r="G59" s="6" t="s">
        <v>69</v>
      </c>
      <c r="H59" s="6" t="s">
        <v>70</v>
      </c>
      <c r="I59" s="6">
        <v>13</v>
      </c>
      <c r="J59" s="6">
        <v>58297</v>
      </c>
      <c r="K59" s="6" t="s">
        <v>45</v>
      </c>
      <c r="L59" s="6">
        <v>7</v>
      </c>
      <c r="M59" s="6">
        <v>24</v>
      </c>
      <c r="N59" s="6">
        <v>3</v>
      </c>
      <c r="O59" s="6" t="s">
        <v>27</v>
      </c>
      <c r="P59" s="6" t="s">
        <v>28</v>
      </c>
      <c r="Q59" s="6">
        <v>2</v>
      </c>
      <c r="R59" s="6" t="s">
        <v>27</v>
      </c>
      <c r="S59" s="6" t="s">
        <v>27</v>
      </c>
    </row>
    <row r="60" spans="1:19" x14ac:dyDescent="0.35">
      <c r="A60" s="7" t="s">
        <v>166</v>
      </c>
      <c r="B60" s="5" t="s">
        <v>167</v>
      </c>
      <c r="C60" s="5" t="s">
        <v>21</v>
      </c>
      <c r="D60" s="5">
        <v>50</v>
      </c>
      <c r="E60" s="5" t="s">
        <v>38</v>
      </c>
      <c r="F60" s="5" t="s">
        <v>33</v>
      </c>
      <c r="G60" s="5" t="s">
        <v>24</v>
      </c>
      <c r="H60" s="5" t="s">
        <v>70</v>
      </c>
      <c r="I60" s="5">
        <v>23</v>
      </c>
      <c r="J60" s="5">
        <v>70661</v>
      </c>
      <c r="K60" s="5" t="s">
        <v>35</v>
      </c>
      <c r="L60" s="5">
        <v>1</v>
      </c>
      <c r="M60" s="5">
        <v>30</v>
      </c>
      <c r="N60" s="5">
        <v>2</v>
      </c>
      <c r="O60" s="5" t="s">
        <v>27</v>
      </c>
      <c r="P60" s="5" t="s">
        <v>28</v>
      </c>
      <c r="Q60" s="5">
        <v>1</v>
      </c>
      <c r="R60" s="5" t="s">
        <v>27</v>
      </c>
      <c r="S60" s="5" t="s">
        <v>27</v>
      </c>
    </row>
    <row r="61" spans="1:19" x14ac:dyDescent="0.35">
      <c r="A61" s="8" t="s">
        <v>168</v>
      </c>
      <c r="B61" s="6" t="s">
        <v>169</v>
      </c>
      <c r="C61" s="6" t="s">
        <v>21</v>
      </c>
      <c r="D61" s="6">
        <v>23</v>
      </c>
      <c r="E61" s="6" t="s">
        <v>55</v>
      </c>
      <c r="F61" s="6" t="s">
        <v>33</v>
      </c>
      <c r="G61" s="6" t="s">
        <v>24</v>
      </c>
      <c r="H61" s="6" t="s">
        <v>49</v>
      </c>
      <c r="I61" s="6">
        <v>1</v>
      </c>
      <c r="J61" s="6">
        <v>53317</v>
      </c>
      <c r="K61" s="6" t="s">
        <v>26</v>
      </c>
      <c r="L61" s="6">
        <v>9</v>
      </c>
      <c r="M61" s="6">
        <v>33</v>
      </c>
      <c r="N61" s="6">
        <v>1</v>
      </c>
      <c r="O61" s="6" t="s">
        <v>27</v>
      </c>
      <c r="P61" s="6" t="s">
        <v>27</v>
      </c>
      <c r="Q61" s="6">
        <v>1</v>
      </c>
      <c r="R61" s="6" t="s">
        <v>27</v>
      </c>
      <c r="S61" s="6" t="s">
        <v>27</v>
      </c>
    </row>
    <row r="62" spans="1:19" x14ac:dyDescent="0.35">
      <c r="A62" s="7" t="s">
        <v>170</v>
      </c>
      <c r="B62" s="5" t="s">
        <v>171</v>
      </c>
      <c r="C62" s="5" t="s">
        <v>21</v>
      </c>
      <c r="D62" s="5">
        <v>47</v>
      </c>
      <c r="E62" s="5" t="s">
        <v>22</v>
      </c>
      <c r="F62" s="5" t="s">
        <v>48</v>
      </c>
      <c r="G62" s="5" t="s">
        <v>69</v>
      </c>
      <c r="H62" s="5" t="s">
        <v>131</v>
      </c>
      <c r="I62" s="5">
        <v>17</v>
      </c>
      <c r="J62" s="5">
        <v>47788</v>
      </c>
      <c r="K62" s="5" t="s">
        <v>45</v>
      </c>
      <c r="L62" s="5">
        <v>8</v>
      </c>
      <c r="M62" s="5">
        <v>18</v>
      </c>
      <c r="N62" s="5">
        <v>4</v>
      </c>
      <c r="O62" s="5" t="s">
        <v>27</v>
      </c>
      <c r="P62" s="5" t="s">
        <v>28</v>
      </c>
      <c r="Q62" s="5">
        <v>3</v>
      </c>
      <c r="R62" s="5" t="s">
        <v>27</v>
      </c>
      <c r="S62" s="5" t="s">
        <v>27</v>
      </c>
    </row>
    <row r="63" spans="1:19" x14ac:dyDescent="0.35">
      <c r="A63" s="8" t="s">
        <v>172</v>
      </c>
      <c r="B63" s="6" t="s">
        <v>173</v>
      </c>
      <c r="C63" s="6" t="s">
        <v>21</v>
      </c>
      <c r="D63" s="6">
        <v>23</v>
      </c>
      <c r="E63" s="6" t="s">
        <v>55</v>
      </c>
      <c r="F63" s="6" t="s">
        <v>64</v>
      </c>
      <c r="G63" s="6" t="s">
        <v>69</v>
      </c>
      <c r="H63" s="6" t="s">
        <v>52</v>
      </c>
      <c r="I63" s="6">
        <v>1</v>
      </c>
      <c r="J63" s="6">
        <v>60648</v>
      </c>
      <c r="K63" s="6" t="s">
        <v>45</v>
      </c>
      <c r="L63" s="6">
        <v>3</v>
      </c>
      <c r="M63" s="6">
        <v>2</v>
      </c>
      <c r="N63" s="6">
        <v>4</v>
      </c>
      <c r="O63" s="6" t="s">
        <v>28</v>
      </c>
      <c r="P63" s="6" t="s">
        <v>27</v>
      </c>
      <c r="Q63" s="6">
        <v>1</v>
      </c>
      <c r="R63" s="6" t="s">
        <v>28</v>
      </c>
      <c r="S63" s="6" t="s">
        <v>28</v>
      </c>
    </row>
    <row r="64" spans="1:19" x14ac:dyDescent="0.35">
      <c r="A64" s="7" t="s">
        <v>174</v>
      </c>
      <c r="B64" s="5" t="s">
        <v>175</v>
      </c>
      <c r="C64" s="5" t="s">
        <v>31</v>
      </c>
      <c r="D64" s="5">
        <v>44</v>
      </c>
      <c r="E64" s="5" t="s">
        <v>38</v>
      </c>
      <c r="F64" s="5" t="s">
        <v>39</v>
      </c>
      <c r="G64" s="5" t="s">
        <v>24</v>
      </c>
      <c r="H64" s="5" t="s">
        <v>131</v>
      </c>
      <c r="I64" s="5">
        <v>11</v>
      </c>
      <c r="J64" s="5">
        <v>57527</v>
      </c>
      <c r="K64" s="5" t="s">
        <v>35</v>
      </c>
      <c r="L64" s="5">
        <v>7</v>
      </c>
      <c r="M64" s="5">
        <v>37</v>
      </c>
      <c r="N64" s="5">
        <v>2</v>
      </c>
      <c r="O64" s="5" t="s">
        <v>27</v>
      </c>
      <c r="P64" s="5" t="s">
        <v>28</v>
      </c>
      <c r="Q64" s="5">
        <v>3</v>
      </c>
      <c r="R64" s="5" t="s">
        <v>27</v>
      </c>
      <c r="S64" s="5" t="s">
        <v>27</v>
      </c>
    </row>
    <row r="65" spans="1:19" x14ac:dyDescent="0.35">
      <c r="A65" s="8" t="s">
        <v>176</v>
      </c>
      <c r="B65" s="6" t="s">
        <v>177</v>
      </c>
      <c r="C65" s="6" t="s">
        <v>31</v>
      </c>
      <c r="D65" s="6">
        <v>22</v>
      </c>
      <c r="E65" s="6" t="s">
        <v>55</v>
      </c>
      <c r="F65" s="6" t="s">
        <v>23</v>
      </c>
      <c r="G65" s="6" t="s">
        <v>24</v>
      </c>
      <c r="H65" s="6" t="s">
        <v>61</v>
      </c>
      <c r="I65" s="6">
        <v>1</v>
      </c>
      <c r="J65" s="6">
        <v>62903</v>
      </c>
      <c r="K65" s="6" t="s">
        <v>26</v>
      </c>
      <c r="L65" s="6">
        <v>6</v>
      </c>
      <c r="M65" s="6">
        <v>4</v>
      </c>
      <c r="N65" s="6">
        <v>3</v>
      </c>
      <c r="O65" s="6" t="s">
        <v>27</v>
      </c>
      <c r="P65" s="6" t="s">
        <v>28</v>
      </c>
      <c r="Q65" s="6">
        <v>1</v>
      </c>
      <c r="R65" s="6" t="s">
        <v>28</v>
      </c>
      <c r="S65" s="6" t="s">
        <v>27</v>
      </c>
    </row>
    <row r="66" spans="1:19" x14ac:dyDescent="0.35">
      <c r="A66" s="7" t="s">
        <v>178</v>
      </c>
      <c r="B66" s="5" t="s">
        <v>179</v>
      </c>
      <c r="C66" s="5" t="s">
        <v>31</v>
      </c>
      <c r="D66" s="5">
        <v>43</v>
      </c>
      <c r="E66" s="5" t="s">
        <v>55</v>
      </c>
      <c r="F66" s="5" t="s">
        <v>48</v>
      </c>
      <c r="G66" s="5" t="s">
        <v>24</v>
      </c>
      <c r="H66" s="5" t="s">
        <v>61</v>
      </c>
      <c r="I66" s="5">
        <v>11</v>
      </c>
      <c r="J66" s="5">
        <v>44913</v>
      </c>
      <c r="K66" s="5" t="s">
        <v>26</v>
      </c>
      <c r="L66" s="5">
        <v>1</v>
      </c>
      <c r="M66" s="5">
        <v>38</v>
      </c>
      <c r="N66" s="5">
        <v>2</v>
      </c>
      <c r="O66" s="5" t="s">
        <v>27</v>
      </c>
      <c r="P66" s="5" t="s">
        <v>27</v>
      </c>
      <c r="Q66" s="5">
        <v>1</v>
      </c>
      <c r="R66" s="5" t="s">
        <v>27</v>
      </c>
      <c r="S66" s="5" t="s">
        <v>27</v>
      </c>
    </row>
    <row r="67" spans="1:19" x14ac:dyDescent="0.35">
      <c r="A67" s="8" t="s">
        <v>180</v>
      </c>
      <c r="B67" s="6" t="s">
        <v>181</v>
      </c>
      <c r="C67" s="6" t="s">
        <v>21</v>
      </c>
      <c r="D67" s="6">
        <v>46</v>
      </c>
      <c r="E67" s="6" t="s">
        <v>55</v>
      </c>
      <c r="F67" s="6" t="s">
        <v>33</v>
      </c>
      <c r="G67" s="6" t="s">
        <v>24</v>
      </c>
      <c r="H67" s="6" t="s">
        <v>34</v>
      </c>
      <c r="I67" s="6">
        <v>16</v>
      </c>
      <c r="J67" s="6">
        <v>65421</v>
      </c>
      <c r="K67" s="6" t="s">
        <v>45</v>
      </c>
      <c r="L67" s="6">
        <v>10</v>
      </c>
      <c r="M67" s="6">
        <v>26</v>
      </c>
      <c r="N67" s="6">
        <v>1</v>
      </c>
      <c r="O67" s="6" t="s">
        <v>28</v>
      </c>
      <c r="P67" s="6" t="s">
        <v>28</v>
      </c>
      <c r="Q67" s="6">
        <v>2</v>
      </c>
      <c r="R67" s="6" t="s">
        <v>27</v>
      </c>
      <c r="S67" s="6" t="s">
        <v>27</v>
      </c>
    </row>
    <row r="68" spans="1:19" x14ac:dyDescent="0.35">
      <c r="A68" s="7" t="s">
        <v>182</v>
      </c>
      <c r="B68" s="5" t="s">
        <v>183</v>
      </c>
      <c r="C68" s="5" t="s">
        <v>21</v>
      </c>
      <c r="D68" s="5">
        <v>55</v>
      </c>
      <c r="E68" s="5" t="s">
        <v>32</v>
      </c>
      <c r="F68" s="5" t="s">
        <v>23</v>
      </c>
      <c r="G68" s="5" t="s">
        <v>24</v>
      </c>
      <c r="H68" s="5" t="s">
        <v>52</v>
      </c>
      <c r="I68" s="5">
        <v>26</v>
      </c>
      <c r="J68" s="5">
        <v>68221</v>
      </c>
      <c r="K68" s="5" t="s">
        <v>26</v>
      </c>
      <c r="L68" s="5">
        <v>6</v>
      </c>
      <c r="M68" s="5">
        <v>31</v>
      </c>
      <c r="N68" s="5">
        <v>2</v>
      </c>
      <c r="O68" s="5" t="s">
        <v>28</v>
      </c>
      <c r="P68" s="5" t="s">
        <v>28</v>
      </c>
      <c r="Q68" s="5">
        <v>5</v>
      </c>
      <c r="R68" s="5" t="s">
        <v>27</v>
      </c>
      <c r="S68" s="5" t="s">
        <v>27</v>
      </c>
    </row>
    <row r="69" spans="1:19" x14ac:dyDescent="0.35">
      <c r="A69" s="8" t="s">
        <v>184</v>
      </c>
      <c r="B69" s="6" t="s">
        <v>185</v>
      </c>
      <c r="C69" s="6" t="s">
        <v>31</v>
      </c>
      <c r="D69" s="6">
        <v>39</v>
      </c>
      <c r="E69" s="6" t="s">
        <v>55</v>
      </c>
      <c r="F69" s="6" t="s">
        <v>39</v>
      </c>
      <c r="G69" s="6" t="s">
        <v>24</v>
      </c>
      <c r="H69" s="6" t="s">
        <v>25</v>
      </c>
      <c r="I69" s="6">
        <v>6</v>
      </c>
      <c r="J69" s="6">
        <v>48360</v>
      </c>
      <c r="K69" s="6" t="s">
        <v>45</v>
      </c>
      <c r="L69" s="6">
        <v>6</v>
      </c>
      <c r="M69" s="6">
        <v>19</v>
      </c>
      <c r="N69" s="6">
        <v>6</v>
      </c>
      <c r="O69" s="6" t="s">
        <v>28</v>
      </c>
      <c r="P69" s="6" t="s">
        <v>28</v>
      </c>
      <c r="Q69" s="6">
        <v>4</v>
      </c>
      <c r="R69" s="6" t="s">
        <v>28</v>
      </c>
      <c r="S69" s="6" t="s">
        <v>27</v>
      </c>
    </row>
    <row r="70" spans="1:19" x14ac:dyDescent="0.35">
      <c r="A70" s="7" t="s">
        <v>186</v>
      </c>
      <c r="B70" s="5" t="s">
        <v>187</v>
      </c>
      <c r="C70" s="5" t="s">
        <v>21</v>
      </c>
      <c r="D70" s="5">
        <v>54</v>
      </c>
      <c r="E70" s="5" t="s">
        <v>55</v>
      </c>
      <c r="F70" s="5" t="s">
        <v>23</v>
      </c>
      <c r="G70" s="5" t="s">
        <v>24</v>
      </c>
      <c r="H70" s="5" t="s">
        <v>25</v>
      </c>
      <c r="I70" s="5">
        <v>19</v>
      </c>
      <c r="J70" s="5">
        <v>72635</v>
      </c>
      <c r="K70" s="5" t="s">
        <v>35</v>
      </c>
      <c r="L70" s="5">
        <v>9</v>
      </c>
      <c r="M70" s="5">
        <v>18</v>
      </c>
      <c r="N70" s="5">
        <v>2</v>
      </c>
      <c r="O70" s="5" t="s">
        <v>27</v>
      </c>
      <c r="P70" s="5" t="s">
        <v>27</v>
      </c>
      <c r="Q70" s="5">
        <v>1</v>
      </c>
      <c r="R70" s="5" t="s">
        <v>27</v>
      </c>
      <c r="S70" s="5" t="s">
        <v>27</v>
      </c>
    </row>
    <row r="71" spans="1:19" x14ac:dyDescent="0.35">
      <c r="A71" s="8" t="s">
        <v>190</v>
      </c>
      <c r="B71" s="6" t="s">
        <v>191</v>
      </c>
      <c r="C71" s="6" t="s">
        <v>31</v>
      </c>
      <c r="D71" s="6">
        <v>31</v>
      </c>
      <c r="E71" s="6" t="s">
        <v>55</v>
      </c>
      <c r="F71" s="6" t="s">
        <v>60</v>
      </c>
      <c r="G71" s="6" t="s">
        <v>24</v>
      </c>
      <c r="H71" s="6" t="s">
        <v>49</v>
      </c>
      <c r="I71" s="6">
        <v>6</v>
      </c>
      <c r="J71" s="6">
        <v>56852</v>
      </c>
      <c r="K71" s="6" t="s">
        <v>35</v>
      </c>
      <c r="L71" s="6">
        <v>4</v>
      </c>
      <c r="M71" s="6">
        <v>12</v>
      </c>
      <c r="N71" s="6">
        <v>6</v>
      </c>
      <c r="O71" s="6" t="s">
        <v>28</v>
      </c>
      <c r="P71" s="6" t="s">
        <v>27</v>
      </c>
      <c r="Q71" s="6">
        <v>2</v>
      </c>
      <c r="R71" s="6" t="s">
        <v>28</v>
      </c>
      <c r="S71" s="6" t="s">
        <v>27</v>
      </c>
    </row>
    <row r="72" spans="1:19" x14ac:dyDescent="0.35">
      <c r="A72" s="7" t="s">
        <v>192</v>
      </c>
      <c r="B72" s="5" t="s">
        <v>193</v>
      </c>
      <c r="C72" s="5" t="s">
        <v>31</v>
      </c>
      <c r="D72" s="5">
        <v>35</v>
      </c>
      <c r="E72" s="5" t="s">
        <v>38</v>
      </c>
      <c r="F72" s="5" t="s">
        <v>43</v>
      </c>
      <c r="G72" s="5" t="s">
        <v>24</v>
      </c>
      <c r="H72" s="5" t="s">
        <v>25</v>
      </c>
      <c r="I72" s="5">
        <v>11</v>
      </c>
      <c r="J72" s="5">
        <v>82000</v>
      </c>
      <c r="K72" s="5" t="s">
        <v>45</v>
      </c>
      <c r="L72" s="5">
        <v>10</v>
      </c>
      <c r="M72" s="5">
        <v>29</v>
      </c>
      <c r="N72" s="5">
        <v>4</v>
      </c>
      <c r="O72" s="5" t="s">
        <v>28</v>
      </c>
      <c r="P72" s="5" t="s">
        <v>28</v>
      </c>
      <c r="Q72" s="5">
        <v>4</v>
      </c>
      <c r="R72" s="5" t="s">
        <v>27</v>
      </c>
      <c r="S72" s="5" t="s">
        <v>28</v>
      </c>
    </row>
    <row r="73" spans="1:19" x14ac:dyDescent="0.35">
      <c r="A73" s="8" t="s">
        <v>194</v>
      </c>
      <c r="B73" s="6" t="s">
        <v>195</v>
      </c>
      <c r="C73" s="6" t="s">
        <v>21</v>
      </c>
      <c r="D73" s="6">
        <v>55</v>
      </c>
      <c r="E73" s="6" t="s">
        <v>55</v>
      </c>
      <c r="F73" s="6" t="s">
        <v>43</v>
      </c>
      <c r="G73" s="6" t="s">
        <v>69</v>
      </c>
      <c r="H73" s="6" t="s">
        <v>49</v>
      </c>
      <c r="I73" s="6">
        <v>25</v>
      </c>
      <c r="J73" s="6">
        <v>82000</v>
      </c>
      <c r="K73" s="6" t="s">
        <v>45</v>
      </c>
      <c r="L73" s="6">
        <v>5</v>
      </c>
      <c r="M73" s="6">
        <v>25</v>
      </c>
      <c r="N73" s="6">
        <v>3</v>
      </c>
      <c r="O73" s="6" t="s">
        <v>28</v>
      </c>
      <c r="P73" s="6" t="s">
        <v>28</v>
      </c>
      <c r="Q73" s="6">
        <v>4</v>
      </c>
      <c r="R73" s="6" t="s">
        <v>27</v>
      </c>
      <c r="S73" s="6" t="s">
        <v>28</v>
      </c>
    </row>
    <row r="74" spans="1:19" x14ac:dyDescent="0.35">
      <c r="A74" s="7" t="s">
        <v>196</v>
      </c>
      <c r="B74" s="5" t="s">
        <v>197</v>
      </c>
      <c r="C74" s="5" t="s">
        <v>21</v>
      </c>
      <c r="D74" s="5">
        <v>46</v>
      </c>
      <c r="E74" s="5" t="s">
        <v>38</v>
      </c>
      <c r="F74" s="5" t="s">
        <v>60</v>
      </c>
      <c r="G74" s="5" t="s">
        <v>24</v>
      </c>
      <c r="H74" s="5" t="s">
        <v>70</v>
      </c>
      <c r="I74" s="5">
        <v>16</v>
      </c>
      <c r="J74" s="5">
        <v>63142</v>
      </c>
      <c r="K74" s="5" t="s">
        <v>26</v>
      </c>
      <c r="L74" s="5">
        <v>2</v>
      </c>
      <c r="M74" s="5">
        <v>37</v>
      </c>
      <c r="N74" s="5">
        <v>7</v>
      </c>
      <c r="O74" s="5" t="s">
        <v>27</v>
      </c>
      <c r="P74" s="5" t="s">
        <v>28</v>
      </c>
      <c r="Q74" s="5">
        <v>4</v>
      </c>
      <c r="R74" s="5" t="s">
        <v>28</v>
      </c>
      <c r="S74" s="5" t="s">
        <v>27</v>
      </c>
    </row>
    <row r="75" spans="1:19" x14ac:dyDescent="0.35">
      <c r="A75" s="8" t="s">
        <v>198</v>
      </c>
      <c r="B75" s="6" t="s">
        <v>199</v>
      </c>
      <c r="C75" s="6" t="s">
        <v>21</v>
      </c>
      <c r="D75" s="6">
        <v>54</v>
      </c>
      <c r="E75" s="6" t="s">
        <v>38</v>
      </c>
      <c r="F75" s="6" t="s">
        <v>64</v>
      </c>
      <c r="G75" s="6" t="s">
        <v>24</v>
      </c>
      <c r="H75" s="6" t="s">
        <v>25</v>
      </c>
      <c r="I75" s="6">
        <v>14</v>
      </c>
      <c r="J75" s="6">
        <v>67340</v>
      </c>
      <c r="K75" s="6" t="s">
        <v>35</v>
      </c>
      <c r="L75" s="6">
        <v>7</v>
      </c>
      <c r="M75" s="6">
        <v>32</v>
      </c>
      <c r="N75" s="6">
        <v>4</v>
      </c>
      <c r="O75" s="6" t="s">
        <v>27</v>
      </c>
      <c r="P75" s="6" t="s">
        <v>28</v>
      </c>
      <c r="Q75" s="6">
        <v>3</v>
      </c>
      <c r="R75" s="6" t="s">
        <v>27</v>
      </c>
      <c r="S75" s="6" t="s">
        <v>27</v>
      </c>
    </row>
    <row r="76" spans="1:19" x14ac:dyDescent="0.35">
      <c r="A76" s="7" t="s">
        <v>200</v>
      </c>
      <c r="B76" s="5" t="s">
        <v>201</v>
      </c>
      <c r="C76" s="5" t="s">
        <v>31</v>
      </c>
      <c r="D76" s="5">
        <v>39</v>
      </c>
      <c r="E76" s="5" t="s">
        <v>55</v>
      </c>
      <c r="F76" s="5" t="s">
        <v>23</v>
      </c>
      <c r="G76" s="5" t="s">
        <v>69</v>
      </c>
      <c r="H76" s="5" t="s">
        <v>34</v>
      </c>
      <c r="I76" s="5">
        <v>11</v>
      </c>
      <c r="J76" s="5">
        <v>66354</v>
      </c>
      <c r="K76" s="5" t="s">
        <v>45</v>
      </c>
      <c r="L76" s="5">
        <v>4</v>
      </c>
      <c r="M76" s="5">
        <v>36</v>
      </c>
      <c r="N76" s="5">
        <v>6</v>
      </c>
      <c r="O76" s="5" t="s">
        <v>28</v>
      </c>
      <c r="P76" s="5" t="s">
        <v>28</v>
      </c>
      <c r="Q76" s="5">
        <v>4</v>
      </c>
      <c r="R76" s="5" t="s">
        <v>27</v>
      </c>
      <c r="S76" s="5" t="s">
        <v>28</v>
      </c>
    </row>
    <row r="77" spans="1:19" x14ac:dyDescent="0.35">
      <c r="A77" s="8" t="s">
        <v>202</v>
      </c>
      <c r="B77" s="6" t="s">
        <v>203</v>
      </c>
      <c r="C77" s="6" t="s">
        <v>31</v>
      </c>
      <c r="D77" s="6">
        <v>22</v>
      </c>
      <c r="E77" s="6" t="s">
        <v>55</v>
      </c>
      <c r="F77" s="6" t="s">
        <v>33</v>
      </c>
      <c r="G77" s="6" t="s">
        <v>24</v>
      </c>
      <c r="H77" s="6" t="s">
        <v>61</v>
      </c>
      <c r="I77" s="6">
        <v>1</v>
      </c>
      <c r="J77" s="6">
        <v>47792</v>
      </c>
      <c r="K77" s="6" t="s">
        <v>45</v>
      </c>
      <c r="L77" s="6">
        <v>1</v>
      </c>
      <c r="M77" s="6">
        <v>9</v>
      </c>
      <c r="N77" s="6">
        <v>5</v>
      </c>
      <c r="O77" s="6" t="s">
        <v>28</v>
      </c>
      <c r="P77" s="6" t="s">
        <v>28</v>
      </c>
      <c r="Q77" s="6">
        <v>2</v>
      </c>
      <c r="R77" s="6" t="s">
        <v>27</v>
      </c>
      <c r="S77" s="6" t="s">
        <v>27</v>
      </c>
    </row>
    <row r="78" spans="1:19" x14ac:dyDescent="0.35">
      <c r="A78" s="7" t="s">
        <v>204</v>
      </c>
      <c r="B78" s="5" t="s">
        <v>205</v>
      </c>
      <c r="C78" s="5" t="s">
        <v>21</v>
      </c>
      <c r="D78" s="5">
        <v>37</v>
      </c>
      <c r="E78" s="5" t="s">
        <v>55</v>
      </c>
      <c r="F78" s="5" t="s">
        <v>33</v>
      </c>
      <c r="G78" s="5" t="s">
        <v>24</v>
      </c>
      <c r="H78" s="5" t="s">
        <v>131</v>
      </c>
      <c r="I78" s="5">
        <v>6</v>
      </c>
      <c r="J78" s="5">
        <v>52588</v>
      </c>
      <c r="K78" s="5" t="s">
        <v>45</v>
      </c>
      <c r="L78" s="5">
        <v>7</v>
      </c>
      <c r="M78" s="5">
        <v>13</v>
      </c>
      <c r="N78" s="5">
        <v>5</v>
      </c>
      <c r="O78" s="5" t="s">
        <v>28</v>
      </c>
      <c r="P78" s="5" t="s">
        <v>28</v>
      </c>
      <c r="Q78" s="5">
        <v>3</v>
      </c>
      <c r="R78" s="5" t="s">
        <v>27</v>
      </c>
      <c r="S78" s="5" t="s">
        <v>27</v>
      </c>
    </row>
    <row r="79" spans="1:19" x14ac:dyDescent="0.35">
      <c r="A79" s="8" t="s">
        <v>206</v>
      </c>
      <c r="B79" s="6" t="s">
        <v>207</v>
      </c>
      <c r="C79" s="6" t="s">
        <v>31</v>
      </c>
      <c r="D79" s="6">
        <v>35</v>
      </c>
      <c r="E79" s="6" t="s">
        <v>38</v>
      </c>
      <c r="F79" s="6" t="s">
        <v>23</v>
      </c>
      <c r="G79" s="6" t="s">
        <v>69</v>
      </c>
      <c r="H79" s="6" t="s">
        <v>25</v>
      </c>
      <c r="I79" s="6">
        <v>8</v>
      </c>
      <c r="J79" s="6">
        <v>66985</v>
      </c>
      <c r="K79" s="6" t="s">
        <v>26</v>
      </c>
      <c r="L79" s="6">
        <v>5</v>
      </c>
      <c r="M79" s="6">
        <v>52</v>
      </c>
      <c r="N79" s="6">
        <v>3</v>
      </c>
      <c r="O79" s="6" t="s">
        <v>27</v>
      </c>
      <c r="P79" s="6" t="s">
        <v>27</v>
      </c>
      <c r="Q79" s="6">
        <v>2</v>
      </c>
      <c r="R79" s="6" t="s">
        <v>28</v>
      </c>
      <c r="S79" s="6" t="s">
        <v>27</v>
      </c>
    </row>
    <row r="80" spans="1:19" x14ac:dyDescent="0.35">
      <c r="A80" s="7" t="s">
        <v>208</v>
      </c>
      <c r="B80" s="5" t="s">
        <v>209</v>
      </c>
      <c r="C80" s="5" t="s">
        <v>31</v>
      </c>
      <c r="D80" s="5">
        <v>31</v>
      </c>
      <c r="E80" s="5" t="s">
        <v>55</v>
      </c>
      <c r="F80" s="5" t="s">
        <v>39</v>
      </c>
      <c r="G80" s="5" t="s">
        <v>69</v>
      </c>
      <c r="H80" s="5" t="s">
        <v>61</v>
      </c>
      <c r="I80" s="5">
        <v>8</v>
      </c>
      <c r="J80" s="5">
        <v>55830</v>
      </c>
      <c r="K80" s="5" t="s">
        <v>40</v>
      </c>
      <c r="L80" s="5">
        <v>5</v>
      </c>
      <c r="M80" s="5">
        <v>26</v>
      </c>
      <c r="N80" s="5">
        <v>4</v>
      </c>
      <c r="O80" s="5" t="s">
        <v>27</v>
      </c>
      <c r="P80" s="5" t="s">
        <v>28</v>
      </c>
      <c r="Q80" s="5">
        <v>4</v>
      </c>
      <c r="R80" s="5" t="s">
        <v>27</v>
      </c>
      <c r="S80" s="5" t="s">
        <v>28</v>
      </c>
    </row>
    <row r="81" spans="1:19" x14ac:dyDescent="0.35">
      <c r="A81" s="8" t="s">
        <v>210</v>
      </c>
      <c r="B81" s="6" t="s">
        <v>211</v>
      </c>
      <c r="C81" s="6" t="s">
        <v>31</v>
      </c>
      <c r="D81" s="6">
        <v>48</v>
      </c>
      <c r="E81" s="6" t="s">
        <v>55</v>
      </c>
      <c r="F81" s="6" t="s">
        <v>33</v>
      </c>
      <c r="G81" s="6" t="s">
        <v>69</v>
      </c>
      <c r="H81" s="6" t="s">
        <v>131</v>
      </c>
      <c r="I81" s="6">
        <v>21</v>
      </c>
      <c r="J81" s="6">
        <v>66431</v>
      </c>
      <c r="K81" s="6" t="s">
        <v>26</v>
      </c>
      <c r="L81" s="6">
        <v>6</v>
      </c>
      <c r="M81" s="6">
        <v>57</v>
      </c>
      <c r="N81" s="6">
        <v>4</v>
      </c>
      <c r="O81" s="6" t="s">
        <v>28</v>
      </c>
      <c r="P81" s="6" t="s">
        <v>27</v>
      </c>
      <c r="Q81" s="6">
        <v>1</v>
      </c>
      <c r="R81" s="6" t="s">
        <v>27</v>
      </c>
      <c r="S81" s="6" t="s">
        <v>27</v>
      </c>
    </row>
    <row r="82" spans="1:19" x14ac:dyDescent="0.35">
      <c r="A82" s="7" t="s">
        <v>212</v>
      </c>
      <c r="B82" s="5" t="s">
        <v>213</v>
      </c>
      <c r="C82" s="5" t="s">
        <v>21</v>
      </c>
      <c r="D82" s="5">
        <v>46</v>
      </c>
      <c r="E82" s="5" t="s">
        <v>55</v>
      </c>
      <c r="F82" s="5" t="s">
        <v>33</v>
      </c>
      <c r="G82" s="5" t="s">
        <v>24</v>
      </c>
      <c r="H82" s="5" t="s">
        <v>131</v>
      </c>
      <c r="I82" s="5">
        <v>10</v>
      </c>
      <c r="J82" s="5">
        <v>62023</v>
      </c>
      <c r="K82" s="5" t="s">
        <v>45</v>
      </c>
      <c r="L82" s="5">
        <v>4</v>
      </c>
      <c r="M82" s="5">
        <v>24</v>
      </c>
      <c r="N82" s="5">
        <v>4</v>
      </c>
      <c r="O82" s="5" t="s">
        <v>27</v>
      </c>
      <c r="P82" s="5" t="s">
        <v>28</v>
      </c>
      <c r="Q82" s="5">
        <v>2</v>
      </c>
      <c r="R82" s="5" t="s">
        <v>27</v>
      </c>
      <c r="S82" s="5" t="s">
        <v>27</v>
      </c>
    </row>
    <row r="83" spans="1:19" x14ac:dyDescent="0.35">
      <c r="A83" s="8" t="s">
        <v>214</v>
      </c>
      <c r="B83" s="6" t="s">
        <v>215</v>
      </c>
      <c r="C83" s="6" t="s">
        <v>21</v>
      </c>
      <c r="D83" s="6">
        <v>21</v>
      </c>
      <c r="E83" s="6" t="s">
        <v>32</v>
      </c>
      <c r="F83" s="6" t="s">
        <v>39</v>
      </c>
      <c r="G83" s="6" t="s">
        <v>69</v>
      </c>
      <c r="H83" s="6" t="s">
        <v>34</v>
      </c>
      <c r="I83" s="6">
        <v>0</v>
      </c>
      <c r="J83" s="6">
        <v>44443</v>
      </c>
      <c r="K83" s="6" t="s">
        <v>45</v>
      </c>
      <c r="L83" s="6">
        <v>8</v>
      </c>
      <c r="M83" s="6">
        <v>28</v>
      </c>
      <c r="N83" s="6">
        <v>6</v>
      </c>
      <c r="O83" s="6" t="s">
        <v>27</v>
      </c>
      <c r="P83" s="6" t="s">
        <v>27</v>
      </c>
      <c r="Q83" s="6">
        <v>3</v>
      </c>
      <c r="R83" s="6" t="s">
        <v>28</v>
      </c>
      <c r="S83" s="6" t="s">
        <v>27</v>
      </c>
    </row>
    <row r="84" spans="1:19" x14ac:dyDescent="0.35">
      <c r="A84" s="7" t="s">
        <v>216</v>
      </c>
      <c r="B84" s="5" t="s">
        <v>217</v>
      </c>
      <c r="C84" s="5" t="s">
        <v>31</v>
      </c>
      <c r="D84" s="5">
        <v>52</v>
      </c>
      <c r="E84" s="5" t="s">
        <v>55</v>
      </c>
      <c r="F84" s="5" t="s">
        <v>39</v>
      </c>
      <c r="G84" s="5" t="s">
        <v>24</v>
      </c>
      <c r="H84" s="5" t="s">
        <v>61</v>
      </c>
      <c r="I84" s="5">
        <v>21</v>
      </c>
      <c r="J84" s="5">
        <v>66584</v>
      </c>
      <c r="K84" s="5" t="s">
        <v>35</v>
      </c>
      <c r="L84" s="5">
        <v>9</v>
      </c>
      <c r="M84" s="5">
        <v>21</v>
      </c>
      <c r="N84" s="5">
        <v>6</v>
      </c>
      <c r="O84" s="5" t="s">
        <v>27</v>
      </c>
      <c r="P84" s="5" t="s">
        <v>28</v>
      </c>
      <c r="Q84" s="5">
        <v>4</v>
      </c>
      <c r="R84" s="5" t="s">
        <v>27</v>
      </c>
      <c r="S84" s="5" t="s">
        <v>27</v>
      </c>
    </row>
    <row r="85" spans="1:19" x14ac:dyDescent="0.35">
      <c r="A85" s="8" t="s">
        <v>218</v>
      </c>
      <c r="B85" s="6" t="s">
        <v>219</v>
      </c>
      <c r="C85" s="6" t="s">
        <v>21</v>
      </c>
      <c r="D85" s="6">
        <v>31</v>
      </c>
      <c r="E85" s="6" t="s">
        <v>55</v>
      </c>
      <c r="F85" s="6" t="s">
        <v>39</v>
      </c>
      <c r="G85" s="6" t="s">
        <v>24</v>
      </c>
      <c r="H85" s="6" t="s">
        <v>131</v>
      </c>
      <c r="I85" s="6">
        <v>7</v>
      </c>
      <c r="J85" s="6">
        <v>53383</v>
      </c>
      <c r="K85" s="6" t="s">
        <v>45</v>
      </c>
      <c r="L85" s="6">
        <v>6</v>
      </c>
      <c r="M85" s="6">
        <v>14</v>
      </c>
      <c r="N85" s="6">
        <v>1</v>
      </c>
      <c r="O85" s="6" t="s">
        <v>28</v>
      </c>
      <c r="P85" s="6" t="s">
        <v>28</v>
      </c>
      <c r="Q85" s="6">
        <v>4</v>
      </c>
      <c r="R85" s="6" t="s">
        <v>27</v>
      </c>
      <c r="S85" s="6" t="s">
        <v>27</v>
      </c>
    </row>
    <row r="86" spans="1:19" x14ac:dyDescent="0.35">
      <c r="A86" s="7" t="s">
        <v>220</v>
      </c>
      <c r="B86" s="5" t="s">
        <v>221</v>
      </c>
      <c r="C86" s="5" t="s">
        <v>31</v>
      </c>
      <c r="D86" s="5">
        <v>23</v>
      </c>
      <c r="E86" s="5" t="s">
        <v>22</v>
      </c>
      <c r="F86" s="5" t="s">
        <v>39</v>
      </c>
      <c r="G86" s="5" t="s">
        <v>24</v>
      </c>
      <c r="H86" s="5" t="s">
        <v>34</v>
      </c>
      <c r="I86" s="5">
        <v>2</v>
      </c>
      <c r="J86" s="5">
        <v>61019</v>
      </c>
      <c r="K86" s="5" t="s">
        <v>45</v>
      </c>
      <c r="L86" s="5">
        <v>2</v>
      </c>
      <c r="M86" s="5">
        <v>16</v>
      </c>
      <c r="N86" s="5">
        <v>7</v>
      </c>
      <c r="O86" s="5" t="s">
        <v>28</v>
      </c>
      <c r="P86" s="5" t="s">
        <v>28</v>
      </c>
      <c r="Q86" s="5">
        <v>5</v>
      </c>
      <c r="R86" s="5" t="s">
        <v>27</v>
      </c>
      <c r="S86" s="5" t="s">
        <v>27</v>
      </c>
    </row>
    <row r="87" spans="1:19" x14ac:dyDescent="0.35">
      <c r="A87" s="8" t="s">
        <v>222</v>
      </c>
      <c r="B87" s="6" t="s">
        <v>223</v>
      </c>
      <c r="C87" s="6" t="s">
        <v>21</v>
      </c>
      <c r="D87" s="6">
        <v>29</v>
      </c>
      <c r="E87" s="6" t="s">
        <v>32</v>
      </c>
      <c r="F87" s="6" t="s">
        <v>48</v>
      </c>
      <c r="G87" s="6" t="s">
        <v>24</v>
      </c>
      <c r="H87" s="6" t="s">
        <v>52</v>
      </c>
      <c r="I87" s="6">
        <v>5</v>
      </c>
      <c r="J87" s="6">
        <v>37181</v>
      </c>
      <c r="K87" s="6" t="s">
        <v>45</v>
      </c>
      <c r="L87" s="6">
        <v>5</v>
      </c>
      <c r="M87" s="6">
        <v>33</v>
      </c>
      <c r="N87" s="6">
        <v>1</v>
      </c>
      <c r="O87" s="6" t="s">
        <v>28</v>
      </c>
      <c r="P87" s="6" t="s">
        <v>27</v>
      </c>
      <c r="Q87" s="6">
        <v>4</v>
      </c>
      <c r="R87" s="6" t="s">
        <v>28</v>
      </c>
      <c r="S87" s="6" t="s">
        <v>27</v>
      </c>
    </row>
    <row r="88" spans="1:19" x14ac:dyDescent="0.35">
      <c r="A88" s="7" t="s">
        <v>224</v>
      </c>
      <c r="B88" s="5" t="s">
        <v>225</v>
      </c>
      <c r="C88" s="5" t="s">
        <v>21</v>
      </c>
      <c r="D88" s="5">
        <v>41</v>
      </c>
      <c r="E88" s="5" t="s">
        <v>55</v>
      </c>
      <c r="F88" s="5" t="s">
        <v>33</v>
      </c>
      <c r="G88" s="5" t="s">
        <v>24</v>
      </c>
      <c r="H88" s="5" t="s">
        <v>25</v>
      </c>
      <c r="I88" s="5">
        <v>8</v>
      </c>
      <c r="J88" s="5">
        <v>54007</v>
      </c>
      <c r="K88" s="5" t="s">
        <v>45</v>
      </c>
      <c r="L88" s="5">
        <v>7</v>
      </c>
      <c r="M88" s="5">
        <v>37</v>
      </c>
      <c r="N88" s="5">
        <v>4</v>
      </c>
      <c r="O88" s="5" t="s">
        <v>28</v>
      </c>
      <c r="P88" s="5" t="s">
        <v>28</v>
      </c>
      <c r="Q88" s="5">
        <v>4</v>
      </c>
      <c r="R88" s="5" t="s">
        <v>28</v>
      </c>
      <c r="S88" s="5" t="s">
        <v>28</v>
      </c>
    </row>
    <row r="89" spans="1:19" x14ac:dyDescent="0.35">
      <c r="A89" s="8" t="s">
        <v>226</v>
      </c>
      <c r="B89" s="6" t="s">
        <v>227</v>
      </c>
      <c r="C89" s="6" t="s">
        <v>21</v>
      </c>
      <c r="D89" s="6">
        <v>54</v>
      </c>
      <c r="E89" s="6" t="s">
        <v>22</v>
      </c>
      <c r="F89" s="6" t="s">
        <v>23</v>
      </c>
      <c r="G89" s="6" t="s">
        <v>69</v>
      </c>
      <c r="H89" s="6" t="s">
        <v>131</v>
      </c>
      <c r="I89" s="6">
        <v>26</v>
      </c>
      <c r="J89" s="6">
        <v>74803</v>
      </c>
      <c r="K89" s="6" t="s">
        <v>35</v>
      </c>
      <c r="L89" s="6">
        <v>7</v>
      </c>
      <c r="M89" s="6">
        <v>13</v>
      </c>
      <c r="N89" s="6">
        <v>7</v>
      </c>
      <c r="O89" s="6" t="s">
        <v>28</v>
      </c>
      <c r="P89" s="6" t="s">
        <v>27</v>
      </c>
      <c r="Q89" s="6">
        <v>5</v>
      </c>
      <c r="R89" s="6" t="s">
        <v>28</v>
      </c>
      <c r="S89" s="6" t="s">
        <v>27</v>
      </c>
    </row>
    <row r="90" spans="1:19" x14ac:dyDescent="0.35">
      <c r="A90" s="7" t="s">
        <v>228</v>
      </c>
      <c r="B90" s="5" t="s">
        <v>229</v>
      </c>
      <c r="C90" s="5" t="s">
        <v>21</v>
      </c>
      <c r="D90" s="5">
        <v>55</v>
      </c>
      <c r="E90" s="5" t="s">
        <v>55</v>
      </c>
      <c r="F90" s="5" t="s">
        <v>43</v>
      </c>
      <c r="G90" s="5" t="s">
        <v>24</v>
      </c>
      <c r="H90" s="5" t="s">
        <v>25</v>
      </c>
      <c r="I90" s="5">
        <v>15</v>
      </c>
      <c r="J90" s="5">
        <v>82000</v>
      </c>
      <c r="K90" s="5" t="s">
        <v>45</v>
      </c>
      <c r="L90" s="5">
        <v>1</v>
      </c>
      <c r="M90" s="5">
        <v>38</v>
      </c>
      <c r="N90" s="5">
        <v>4</v>
      </c>
      <c r="O90" s="5" t="s">
        <v>27</v>
      </c>
      <c r="P90" s="5" t="s">
        <v>28</v>
      </c>
      <c r="Q90" s="5">
        <v>4</v>
      </c>
      <c r="R90" s="5" t="s">
        <v>27</v>
      </c>
      <c r="S90" s="5" t="s">
        <v>27</v>
      </c>
    </row>
    <row r="91" spans="1:19" x14ac:dyDescent="0.35">
      <c r="A91" s="8" t="s">
        <v>230</v>
      </c>
      <c r="B91" s="6" t="s">
        <v>231</v>
      </c>
      <c r="C91" s="6" t="s">
        <v>21</v>
      </c>
      <c r="D91" s="6">
        <v>50</v>
      </c>
      <c r="E91" s="6" t="s">
        <v>38</v>
      </c>
      <c r="F91" s="6" t="s">
        <v>33</v>
      </c>
      <c r="G91" s="6" t="s">
        <v>24</v>
      </c>
      <c r="H91" s="6" t="s">
        <v>49</v>
      </c>
      <c r="I91" s="6">
        <v>12</v>
      </c>
      <c r="J91" s="6">
        <v>69029</v>
      </c>
      <c r="K91" s="6" t="s">
        <v>45</v>
      </c>
      <c r="L91" s="6">
        <v>7</v>
      </c>
      <c r="M91" s="6">
        <v>28</v>
      </c>
      <c r="N91" s="6">
        <v>4</v>
      </c>
      <c r="O91" s="6" t="s">
        <v>27</v>
      </c>
      <c r="P91" s="6" t="s">
        <v>28</v>
      </c>
      <c r="Q91" s="6">
        <v>2</v>
      </c>
      <c r="R91" s="6" t="s">
        <v>27</v>
      </c>
      <c r="S91" s="6" t="s">
        <v>27</v>
      </c>
    </row>
    <row r="92" spans="1:19" x14ac:dyDescent="0.35">
      <c r="A92" s="7" t="s">
        <v>232</v>
      </c>
      <c r="B92" s="5" t="s">
        <v>233</v>
      </c>
      <c r="C92" s="5" t="s">
        <v>31</v>
      </c>
      <c r="D92" s="5">
        <v>25</v>
      </c>
      <c r="E92" s="5" t="s">
        <v>55</v>
      </c>
      <c r="F92" s="5" t="s">
        <v>60</v>
      </c>
      <c r="G92" s="5" t="s">
        <v>24</v>
      </c>
      <c r="H92" s="5" t="s">
        <v>49</v>
      </c>
      <c r="I92" s="5">
        <v>3</v>
      </c>
      <c r="J92" s="5">
        <v>55537</v>
      </c>
      <c r="K92" s="5" t="s">
        <v>26</v>
      </c>
      <c r="L92" s="5">
        <v>2</v>
      </c>
      <c r="M92" s="5">
        <v>5</v>
      </c>
      <c r="N92" s="5">
        <v>5</v>
      </c>
      <c r="O92" s="5" t="s">
        <v>27</v>
      </c>
      <c r="P92" s="5" t="s">
        <v>27</v>
      </c>
      <c r="Q92" s="5">
        <v>4</v>
      </c>
      <c r="R92" s="5" t="s">
        <v>27</v>
      </c>
      <c r="S92" s="5" t="s">
        <v>28</v>
      </c>
    </row>
    <row r="93" spans="1:19" x14ac:dyDescent="0.35">
      <c r="A93" s="8" t="s">
        <v>234</v>
      </c>
      <c r="B93" s="6" t="s">
        <v>235</v>
      </c>
      <c r="C93" s="6" t="s">
        <v>21</v>
      </c>
      <c r="D93" s="6">
        <v>40</v>
      </c>
      <c r="E93" s="6" t="s">
        <v>38</v>
      </c>
      <c r="F93" s="6" t="s">
        <v>39</v>
      </c>
      <c r="G93" s="6" t="s">
        <v>24</v>
      </c>
      <c r="H93" s="6" t="s">
        <v>61</v>
      </c>
      <c r="I93" s="6">
        <v>15</v>
      </c>
      <c r="J93" s="6">
        <v>61035</v>
      </c>
      <c r="K93" s="6" t="s">
        <v>45</v>
      </c>
      <c r="L93" s="6">
        <v>2</v>
      </c>
      <c r="M93" s="6">
        <v>17</v>
      </c>
      <c r="N93" s="6">
        <v>6</v>
      </c>
      <c r="O93" s="6" t="s">
        <v>28</v>
      </c>
      <c r="P93" s="6" t="s">
        <v>28</v>
      </c>
      <c r="Q93" s="6">
        <v>1</v>
      </c>
      <c r="R93" s="6" t="s">
        <v>27</v>
      </c>
      <c r="S93" s="6" t="s">
        <v>27</v>
      </c>
    </row>
    <row r="94" spans="1:19" x14ac:dyDescent="0.35">
      <c r="A94" s="7" t="s">
        <v>236</v>
      </c>
      <c r="B94" s="5" t="s">
        <v>237</v>
      </c>
      <c r="C94" s="5" t="s">
        <v>31</v>
      </c>
      <c r="D94" s="5">
        <v>36</v>
      </c>
      <c r="E94" s="5" t="s">
        <v>55</v>
      </c>
      <c r="F94" s="5" t="s">
        <v>43</v>
      </c>
      <c r="G94" s="5" t="s">
        <v>24</v>
      </c>
      <c r="H94" s="5" t="s">
        <v>52</v>
      </c>
      <c r="I94" s="5">
        <v>12</v>
      </c>
      <c r="J94" s="5">
        <v>74457</v>
      </c>
      <c r="K94" s="5" t="s">
        <v>45</v>
      </c>
      <c r="L94" s="5">
        <v>7</v>
      </c>
      <c r="M94" s="5">
        <v>12</v>
      </c>
      <c r="N94" s="5">
        <v>5</v>
      </c>
      <c r="O94" s="5" t="s">
        <v>28</v>
      </c>
      <c r="P94" s="5" t="s">
        <v>28</v>
      </c>
      <c r="Q94" s="5">
        <v>1</v>
      </c>
      <c r="R94" s="5" t="s">
        <v>27</v>
      </c>
      <c r="S94" s="5" t="s">
        <v>27</v>
      </c>
    </row>
    <row r="95" spans="1:19" x14ac:dyDescent="0.35">
      <c r="A95" s="8" t="s">
        <v>238</v>
      </c>
      <c r="B95" s="6" t="s">
        <v>239</v>
      </c>
      <c r="C95" s="6" t="s">
        <v>21</v>
      </c>
      <c r="D95" s="6">
        <v>46</v>
      </c>
      <c r="E95" s="6" t="s">
        <v>22</v>
      </c>
      <c r="F95" s="6" t="s">
        <v>33</v>
      </c>
      <c r="G95" s="6" t="s">
        <v>24</v>
      </c>
      <c r="H95" s="6" t="s">
        <v>49</v>
      </c>
      <c r="I95" s="6">
        <v>19</v>
      </c>
      <c r="J95" s="6">
        <v>66962</v>
      </c>
      <c r="K95" s="6" t="s">
        <v>45</v>
      </c>
      <c r="L95" s="6">
        <v>5</v>
      </c>
      <c r="M95" s="6">
        <v>27</v>
      </c>
      <c r="N95" s="6">
        <v>3</v>
      </c>
      <c r="O95" s="6" t="s">
        <v>27</v>
      </c>
      <c r="P95" s="6" t="s">
        <v>28</v>
      </c>
      <c r="Q95" s="6">
        <v>1</v>
      </c>
      <c r="R95" s="6" t="s">
        <v>27</v>
      </c>
      <c r="S95" s="6" t="s">
        <v>27</v>
      </c>
    </row>
    <row r="96" spans="1:19" x14ac:dyDescent="0.35">
      <c r="A96" s="7" t="s">
        <v>240</v>
      </c>
      <c r="B96" s="5" t="s">
        <v>241</v>
      </c>
      <c r="C96" s="5" t="s">
        <v>21</v>
      </c>
      <c r="D96" s="5">
        <v>52</v>
      </c>
      <c r="E96" s="5" t="s">
        <v>55</v>
      </c>
      <c r="F96" s="5" t="s">
        <v>64</v>
      </c>
      <c r="G96" s="5" t="s">
        <v>24</v>
      </c>
      <c r="H96" s="5" t="s">
        <v>25</v>
      </c>
      <c r="I96" s="5">
        <v>24</v>
      </c>
      <c r="J96" s="5">
        <v>82000</v>
      </c>
      <c r="K96" s="5" t="s">
        <v>26</v>
      </c>
      <c r="L96" s="5">
        <v>1</v>
      </c>
      <c r="M96" s="5">
        <v>24</v>
      </c>
      <c r="N96" s="5">
        <v>1</v>
      </c>
      <c r="O96" s="5" t="s">
        <v>27</v>
      </c>
      <c r="P96" s="5" t="s">
        <v>28</v>
      </c>
      <c r="Q96" s="5">
        <v>4</v>
      </c>
      <c r="R96" s="5" t="s">
        <v>27</v>
      </c>
      <c r="S96" s="5" t="s">
        <v>27</v>
      </c>
    </row>
    <row r="97" spans="1:19" x14ac:dyDescent="0.35">
      <c r="A97" s="8" t="s">
        <v>242</v>
      </c>
      <c r="B97" s="6" t="s">
        <v>243</v>
      </c>
      <c r="C97" s="6" t="s">
        <v>21</v>
      </c>
      <c r="D97" s="6">
        <v>46</v>
      </c>
      <c r="E97" s="6" t="s">
        <v>38</v>
      </c>
      <c r="F97" s="6" t="s">
        <v>64</v>
      </c>
      <c r="G97" s="6" t="s">
        <v>24</v>
      </c>
      <c r="H97" s="6" t="s">
        <v>49</v>
      </c>
      <c r="I97" s="6">
        <v>20</v>
      </c>
      <c r="J97" s="6">
        <v>73894</v>
      </c>
      <c r="K97" s="6" t="s">
        <v>26</v>
      </c>
      <c r="L97" s="6">
        <v>7</v>
      </c>
      <c r="M97" s="6">
        <v>40</v>
      </c>
      <c r="N97" s="6">
        <v>6</v>
      </c>
      <c r="O97" s="6" t="s">
        <v>27</v>
      </c>
      <c r="P97" s="6" t="s">
        <v>28</v>
      </c>
      <c r="Q97" s="6">
        <v>4</v>
      </c>
      <c r="R97" s="6" t="s">
        <v>27</v>
      </c>
      <c r="S97" s="6" t="s">
        <v>27</v>
      </c>
    </row>
    <row r="98" spans="1:19" x14ac:dyDescent="0.35">
      <c r="A98" s="7" t="s">
        <v>244</v>
      </c>
      <c r="B98" s="5" t="s">
        <v>245</v>
      </c>
      <c r="C98" s="5" t="s">
        <v>31</v>
      </c>
      <c r="D98" s="5">
        <v>26</v>
      </c>
      <c r="E98" s="5" t="s">
        <v>55</v>
      </c>
      <c r="F98" s="5" t="s">
        <v>64</v>
      </c>
      <c r="G98" s="5" t="s">
        <v>69</v>
      </c>
      <c r="H98" s="5" t="s">
        <v>34</v>
      </c>
      <c r="I98" s="5">
        <v>3</v>
      </c>
      <c r="J98" s="5">
        <v>58670</v>
      </c>
      <c r="K98" s="5" t="s">
        <v>45</v>
      </c>
      <c r="L98" s="5">
        <v>2</v>
      </c>
      <c r="M98" s="5">
        <v>37</v>
      </c>
      <c r="N98" s="5">
        <v>5</v>
      </c>
      <c r="O98" s="5" t="s">
        <v>28</v>
      </c>
      <c r="P98" s="5" t="s">
        <v>28</v>
      </c>
      <c r="Q98" s="5">
        <v>4</v>
      </c>
      <c r="R98" s="5" t="s">
        <v>28</v>
      </c>
      <c r="S98" s="5" t="s">
        <v>27</v>
      </c>
    </row>
    <row r="99" spans="1:19" x14ac:dyDescent="0.35">
      <c r="A99" s="8" t="s">
        <v>246</v>
      </c>
      <c r="B99" s="6" t="s">
        <v>247</v>
      </c>
      <c r="C99" s="6" t="s">
        <v>21</v>
      </c>
      <c r="D99" s="6">
        <v>51</v>
      </c>
      <c r="E99" s="6" t="s">
        <v>32</v>
      </c>
      <c r="F99" s="6" t="s">
        <v>48</v>
      </c>
      <c r="G99" s="6" t="s">
        <v>24</v>
      </c>
      <c r="H99" s="6" t="s">
        <v>52</v>
      </c>
      <c r="I99" s="6">
        <v>23</v>
      </c>
      <c r="J99" s="6">
        <v>49539</v>
      </c>
      <c r="K99" s="6" t="s">
        <v>45</v>
      </c>
      <c r="L99" s="6">
        <v>10</v>
      </c>
      <c r="M99" s="6">
        <v>54</v>
      </c>
      <c r="N99" s="6">
        <v>4</v>
      </c>
      <c r="O99" s="6" t="s">
        <v>27</v>
      </c>
      <c r="P99" s="6" t="s">
        <v>27</v>
      </c>
      <c r="Q99" s="6">
        <v>4</v>
      </c>
      <c r="R99" s="6" t="s">
        <v>28</v>
      </c>
      <c r="S99" s="6" t="s">
        <v>27</v>
      </c>
    </row>
    <row r="100" spans="1:19" x14ac:dyDescent="0.35">
      <c r="A100" s="7" t="s">
        <v>248</v>
      </c>
      <c r="B100" s="5" t="s">
        <v>249</v>
      </c>
      <c r="C100" s="5" t="s">
        <v>250</v>
      </c>
      <c r="D100" s="5">
        <v>26</v>
      </c>
      <c r="E100" s="5" t="s">
        <v>22</v>
      </c>
      <c r="F100" s="5" t="s">
        <v>33</v>
      </c>
      <c r="G100" s="5" t="s">
        <v>24</v>
      </c>
      <c r="H100" s="5" t="s">
        <v>70</v>
      </c>
      <c r="I100" s="5">
        <v>2</v>
      </c>
      <c r="J100" s="5">
        <v>41357</v>
      </c>
      <c r="K100" s="5" t="s">
        <v>26</v>
      </c>
      <c r="L100" s="5">
        <v>6</v>
      </c>
      <c r="M100" s="5">
        <v>22</v>
      </c>
      <c r="N100" s="5">
        <v>5</v>
      </c>
      <c r="O100" s="5" t="s">
        <v>28</v>
      </c>
      <c r="P100" s="5" t="s">
        <v>27</v>
      </c>
      <c r="Q100" s="5">
        <v>5</v>
      </c>
      <c r="R100" s="5" t="s">
        <v>27</v>
      </c>
      <c r="S100" s="5" t="s">
        <v>27</v>
      </c>
    </row>
    <row r="101" spans="1:19" x14ac:dyDescent="0.35">
      <c r="A101" s="8" t="s">
        <v>251</v>
      </c>
      <c r="B101" s="6" t="s">
        <v>252</v>
      </c>
      <c r="C101" s="6" t="s">
        <v>21</v>
      </c>
      <c r="D101" s="6">
        <v>30</v>
      </c>
      <c r="E101" s="6" t="s">
        <v>55</v>
      </c>
      <c r="F101" s="6" t="s">
        <v>39</v>
      </c>
      <c r="G101" s="6" t="s">
        <v>24</v>
      </c>
      <c r="H101" s="6" t="s">
        <v>70</v>
      </c>
      <c r="I101" s="6">
        <v>4</v>
      </c>
      <c r="J101" s="6">
        <v>63684</v>
      </c>
      <c r="K101" s="6" t="s">
        <v>45</v>
      </c>
      <c r="L101" s="6">
        <v>8</v>
      </c>
      <c r="M101" s="6">
        <v>35</v>
      </c>
      <c r="N101" s="6">
        <v>4</v>
      </c>
      <c r="O101" s="6" t="s">
        <v>28</v>
      </c>
      <c r="P101" s="6" t="s">
        <v>28</v>
      </c>
      <c r="Q101" s="6">
        <v>2</v>
      </c>
      <c r="R101" s="6" t="s">
        <v>27</v>
      </c>
      <c r="S101" s="6" t="s">
        <v>27</v>
      </c>
    </row>
    <row r="102" spans="1:19" x14ac:dyDescent="0.35">
      <c r="A102" s="7" t="s">
        <v>253</v>
      </c>
      <c r="B102" s="5" t="s">
        <v>254</v>
      </c>
      <c r="C102" s="5" t="s">
        <v>31</v>
      </c>
      <c r="D102" s="5">
        <v>54</v>
      </c>
      <c r="E102" s="5" t="s">
        <v>38</v>
      </c>
      <c r="F102" s="5" t="s">
        <v>64</v>
      </c>
      <c r="G102" s="5" t="s">
        <v>24</v>
      </c>
      <c r="H102" s="5" t="s">
        <v>61</v>
      </c>
      <c r="I102" s="5">
        <v>17</v>
      </c>
      <c r="J102" s="5">
        <v>72142</v>
      </c>
      <c r="K102" s="5" t="s">
        <v>45</v>
      </c>
      <c r="L102" s="5">
        <v>5</v>
      </c>
      <c r="M102" s="5">
        <v>14</v>
      </c>
      <c r="N102" s="5">
        <v>6</v>
      </c>
      <c r="O102" s="5" t="s">
        <v>27</v>
      </c>
      <c r="P102" s="5" t="s">
        <v>28</v>
      </c>
      <c r="Q102" s="5">
        <v>1</v>
      </c>
      <c r="R102" s="5" t="s">
        <v>27</v>
      </c>
      <c r="S102" s="5" t="s">
        <v>27</v>
      </c>
    </row>
    <row r="103" spans="1:19" x14ac:dyDescent="0.35">
      <c r="A103" s="8" t="s">
        <v>255</v>
      </c>
      <c r="B103" s="6" t="s">
        <v>256</v>
      </c>
      <c r="C103" s="6" t="s">
        <v>21</v>
      </c>
      <c r="D103" s="6">
        <v>48</v>
      </c>
      <c r="E103" s="6" t="s">
        <v>38</v>
      </c>
      <c r="F103" s="6" t="s">
        <v>48</v>
      </c>
      <c r="G103" s="6" t="s">
        <v>24</v>
      </c>
      <c r="H103" s="6" t="s">
        <v>52</v>
      </c>
      <c r="I103" s="6">
        <v>10</v>
      </c>
      <c r="J103" s="6">
        <v>60209</v>
      </c>
      <c r="K103" s="6" t="s">
        <v>26</v>
      </c>
      <c r="L103" s="6">
        <v>9</v>
      </c>
      <c r="M103" s="6">
        <v>33</v>
      </c>
      <c r="N103" s="6">
        <v>1</v>
      </c>
      <c r="O103" s="6" t="s">
        <v>28</v>
      </c>
      <c r="P103" s="6" t="s">
        <v>28</v>
      </c>
      <c r="Q103" s="6">
        <v>1</v>
      </c>
      <c r="R103" s="6" t="s">
        <v>27</v>
      </c>
      <c r="S103" s="6" t="s">
        <v>27</v>
      </c>
    </row>
    <row r="104" spans="1:19" x14ac:dyDescent="0.35">
      <c r="A104" s="7" t="s">
        <v>257</v>
      </c>
      <c r="B104" s="5" t="s">
        <v>258</v>
      </c>
      <c r="C104" s="5" t="s">
        <v>21</v>
      </c>
      <c r="D104" s="5">
        <v>44</v>
      </c>
      <c r="E104" s="5" t="s">
        <v>22</v>
      </c>
      <c r="F104" s="5" t="s">
        <v>39</v>
      </c>
      <c r="G104" s="5" t="s">
        <v>24</v>
      </c>
      <c r="H104" s="5" t="s">
        <v>34</v>
      </c>
      <c r="I104" s="5">
        <v>13</v>
      </c>
      <c r="J104" s="5">
        <v>57689</v>
      </c>
      <c r="K104" s="5" t="s">
        <v>35</v>
      </c>
      <c r="L104" s="5">
        <v>10</v>
      </c>
      <c r="M104" s="5">
        <v>51</v>
      </c>
      <c r="N104" s="5">
        <v>5</v>
      </c>
      <c r="O104" s="5" t="s">
        <v>28</v>
      </c>
      <c r="P104" s="5" t="s">
        <v>27</v>
      </c>
      <c r="Q104" s="5">
        <v>2</v>
      </c>
      <c r="R104" s="5" t="s">
        <v>28</v>
      </c>
      <c r="S104" s="5" t="s">
        <v>27</v>
      </c>
    </row>
    <row r="105" spans="1:19" x14ac:dyDescent="0.35">
      <c r="A105" s="8" t="s">
        <v>259</v>
      </c>
      <c r="B105" s="6" t="s">
        <v>260</v>
      </c>
      <c r="C105" s="6" t="s">
        <v>31</v>
      </c>
      <c r="D105" s="6">
        <v>29</v>
      </c>
      <c r="E105" s="6" t="s">
        <v>38</v>
      </c>
      <c r="F105" s="6" t="s">
        <v>33</v>
      </c>
      <c r="G105" s="6" t="s">
        <v>44</v>
      </c>
      <c r="H105" s="6" t="s">
        <v>34</v>
      </c>
      <c r="I105" s="6">
        <v>5</v>
      </c>
      <c r="J105" s="6">
        <v>64326</v>
      </c>
      <c r="K105" s="6" t="s">
        <v>26</v>
      </c>
      <c r="L105" s="6">
        <v>8</v>
      </c>
      <c r="M105" s="6">
        <v>45</v>
      </c>
      <c r="N105" s="6">
        <v>3</v>
      </c>
      <c r="O105" s="6" t="s">
        <v>28</v>
      </c>
      <c r="P105" s="6" t="s">
        <v>28</v>
      </c>
      <c r="Q105" s="6">
        <v>4</v>
      </c>
      <c r="R105" s="6" t="s">
        <v>27</v>
      </c>
      <c r="S105" s="6" t="s">
        <v>27</v>
      </c>
    </row>
    <row r="106" spans="1:19" x14ac:dyDescent="0.35">
      <c r="A106" s="7" t="s">
        <v>261</v>
      </c>
      <c r="B106" s="5" t="s">
        <v>262</v>
      </c>
      <c r="C106" s="5" t="s">
        <v>21</v>
      </c>
      <c r="D106" s="5">
        <v>29</v>
      </c>
      <c r="E106" s="5" t="s">
        <v>55</v>
      </c>
      <c r="F106" s="5" t="s">
        <v>23</v>
      </c>
      <c r="G106" s="5" t="s">
        <v>24</v>
      </c>
      <c r="H106" s="5" t="s">
        <v>34</v>
      </c>
      <c r="I106" s="5">
        <v>6</v>
      </c>
      <c r="J106" s="5">
        <v>72840</v>
      </c>
      <c r="K106" s="5" t="s">
        <v>26</v>
      </c>
      <c r="L106" s="5">
        <v>9</v>
      </c>
      <c r="M106" s="5">
        <v>37</v>
      </c>
      <c r="N106" s="5">
        <v>4</v>
      </c>
      <c r="O106" s="5" t="s">
        <v>27</v>
      </c>
      <c r="P106" s="5" t="s">
        <v>28</v>
      </c>
      <c r="Q106" s="5">
        <v>1</v>
      </c>
      <c r="R106" s="5" t="s">
        <v>28</v>
      </c>
      <c r="S106" s="5" t="s">
        <v>27</v>
      </c>
    </row>
    <row r="107" spans="1:19" x14ac:dyDescent="0.35">
      <c r="A107" s="8" t="s">
        <v>263</v>
      </c>
      <c r="B107" s="6" t="s">
        <v>264</v>
      </c>
      <c r="C107" s="6" t="s">
        <v>21</v>
      </c>
      <c r="D107" s="6">
        <v>52</v>
      </c>
      <c r="E107" s="6" t="s">
        <v>55</v>
      </c>
      <c r="F107" s="6" t="s">
        <v>64</v>
      </c>
      <c r="G107" s="6" t="s">
        <v>24</v>
      </c>
      <c r="H107" s="6" t="s">
        <v>52</v>
      </c>
      <c r="I107" s="6">
        <v>11</v>
      </c>
      <c r="J107" s="6">
        <v>48405</v>
      </c>
      <c r="K107" s="6" t="s">
        <v>45</v>
      </c>
      <c r="L107" s="6">
        <v>5</v>
      </c>
      <c r="M107" s="6">
        <v>13</v>
      </c>
      <c r="N107" s="6">
        <v>3</v>
      </c>
      <c r="O107" s="6" t="s">
        <v>27</v>
      </c>
      <c r="P107" s="6" t="s">
        <v>28</v>
      </c>
      <c r="Q107" s="6">
        <v>4</v>
      </c>
      <c r="R107" s="6" t="s">
        <v>27</v>
      </c>
      <c r="S107" s="6" t="s">
        <v>27</v>
      </c>
    </row>
    <row r="108" spans="1:19" x14ac:dyDescent="0.35">
      <c r="A108" s="7" t="s">
        <v>265</v>
      </c>
      <c r="B108" s="5" t="s">
        <v>266</v>
      </c>
      <c r="C108" s="5" t="s">
        <v>21</v>
      </c>
      <c r="D108" s="5">
        <v>25</v>
      </c>
      <c r="E108" s="5" t="s">
        <v>55</v>
      </c>
      <c r="F108" s="5" t="s">
        <v>48</v>
      </c>
      <c r="G108" s="5" t="s">
        <v>24</v>
      </c>
      <c r="H108" s="5" t="s">
        <v>61</v>
      </c>
      <c r="I108" s="5">
        <v>3</v>
      </c>
      <c r="J108" s="5">
        <v>41708</v>
      </c>
      <c r="K108" s="5" t="s">
        <v>45</v>
      </c>
      <c r="L108" s="5">
        <v>2</v>
      </c>
      <c r="M108" s="5">
        <v>35</v>
      </c>
      <c r="N108" s="5">
        <v>4</v>
      </c>
      <c r="O108" s="5" t="s">
        <v>27</v>
      </c>
      <c r="P108" s="5" t="s">
        <v>28</v>
      </c>
      <c r="Q108" s="5">
        <v>2</v>
      </c>
      <c r="R108" s="5" t="s">
        <v>27</v>
      </c>
      <c r="S108" s="5" t="s">
        <v>27</v>
      </c>
    </row>
    <row r="109" spans="1:19" x14ac:dyDescent="0.35">
      <c r="A109" s="8" t="s">
        <v>267</v>
      </c>
      <c r="B109" s="6" t="s">
        <v>268</v>
      </c>
      <c r="C109" s="6" t="s">
        <v>31</v>
      </c>
      <c r="D109" s="6">
        <v>29</v>
      </c>
      <c r="E109" s="6" t="s">
        <v>38</v>
      </c>
      <c r="F109" s="6" t="s">
        <v>48</v>
      </c>
      <c r="G109" s="6" t="s">
        <v>69</v>
      </c>
      <c r="H109" s="6" t="s">
        <v>61</v>
      </c>
      <c r="I109" s="6">
        <v>6</v>
      </c>
      <c r="J109" s="6">
        <v>45755</v>
      </c>
      <c r="K109" s="6" t="s">
        <v>26</v>
      </c>
      <c r="L109" s="6">
        <v>1</v>
      </c>
      <c r="M109" s="6">
        <v>28</v>
      </c>
      <c r="N109" s="6">
        <v>2</v>
      </c>
      <c r="O109" s="6" t="s">
        <v>28</v>
      </c>
      <c r="P109" s="6" t="s">
        <v>28</v>
      </c>
      <c r="Q109" s="6">
        <v>2</v>
      </c>
      <c r="R109" s="6" t="s">
        <v>27</v>
      </c>
      <c r="S109" s="6" t="s">
        <v>27</v>
      </c>
    </row>
    <row r="110" spans="1:19" x14ac:dyDescent="0.35">
      <c r="A110" s="7" t="s">
        <v>269</v>
      </c>
      <c r="B110" s="5" t="s">
        <v>270</v>
      </c>
      <c r="C110" s="5" t="s">
        <v>31</v>
      </c>
      <c r="D110" s="5">
        <v>48</v>
      </c>
      <c r="E110" s="5" t="s">
        <v>55</v>
      </c>
      <c r="F110" s="5" t="s">
        <v>39</v>
      </c>
      <c r="G110" s="5" t="s">
        <v>24</v>
      </c>
      <c r="H110" s="5" t="s">
        <v>34</v>
      </c>
      <c r="I110" s="5">
        <v>19</v>
      </c>
      <c r="J110" s="5">
        <v>56748</v>
      </c>
      <c r="K110" s="5" t="s">
        <v>35</v>
      </c>
      <c r="L110" s="5">
        <v>10</v>
      </c>
      <c r="M110" s="5">
        <v>36</v>
      </c>
      <c r="N110" s="5">
        <v>1</v>
      </c>
      <c r="O110" s="5" t="s">
        <v>28</v>
      </c>
      <c r="P110" s="5" t="s">
        <v>28</v>
      </c>
      <c r="Q110" s="5">
        <v>4</v>
      </c>
      <c r="R110" s="5" t="s">
        <v>27</v>
      </c>
      <c r="S110" s="5" t="s">
        <v>27</v>
      </c>
    </row>
    <row r="111" spans="1:19" x14ac:dyDescent="0.35">
      <c r="A111" s="8" t="s">
        <v>271</v>
      </c>
      <c r="B111" s="6" t="s">
        <v>272</v>
      </c>
      <c r="C111" s="6" t="s">
        <v>31</v>
      </c>
      <c r="D111" s="6">
        <v>47</v>
      </c>
      <c r="E111" s="6" t="s">
        <v>55</v>
      </c>
      <c r="F111" s="6" t="s">
        <v>48</v>
      </c>
      <c r="G111" s="6" t="s">
        <v>24</v>
      </c>
      <c r="H111" s="6" t="s">
        <v>52</v>
      </c>
      <c r="I111" s="6">
        <v>14</v>
      </c>
      <c r="J111" s="6">
        <v>57256</v>
      </c>
      <c r="K111" s="6" t="s">
        <v>26</v>
      </c>
      <c r="L111" s="6">
        <v>10</v>
      </c>
      <c r="M111" s="6">
        <v>39</v>
      </c>
      <c r="N111" s="6">
        <v>1</v>
      </c>
      <c r="O111" s="6" t="s">
        <v>27</v>
      </c>
      <c r="P111" s="6" t="s">
        <v>28</v>
      </c>
      <c r="Q111" s="6">
        <v>1</v>
      </c>
      <c r="R111" s="6" t="s">
        <v>27</v>
      </c>
      <c r="S111" s="6" t="s">
        <v>27</v>
      </c>
    </row>
    <row r="112" spans="1:19" x14ac:dyDescent="0.35">
      <c r="A112" s="7" t="s">
        <v>273</v>
      </c>
      <c r="B112" s="5" t="s">
        <v>274</v>
      </c>
      <c r="C112" s="5" t="s">
        <v>21</v>
      </c>
      <c r="D112" s="5">
        <v>33</v>
      </c>
      <c r="E112" s="5" t="s">
        <v>55</v>
      </c>
      <c r="F112" s="5" t="s">
        <v>48</v>
      </c>
      <c r="G112" s="5" t="s">
        <v>24</v>
      </c>
      <c r="H112" s="5" t="s">
        <v>131</v>
      </c>
      <c r="I112" s="5">
        <v>9</v>
      </c>
      <c r="J112" s="5">
        <v>67059</v>
      </c>
      <c r="K112" s="5" t="s">
        <v>35</v>
      </c>
      <c r="L112" s="5">
        <v>2</v>
      </c>
      <c r="M112" s="5">
        <v>12</v>
      </c>
      <c r="N112" s="5">
        <v>6</v>
      </c>
      <c r="O112" s="5" t="s">
        <v>27</v>
      </c>
      <c r="P112" s="5" t="s">
        <v>28</v>
      </c>
      <c r="Q112" s="5">
        <v>3</v>
      </c>
      <c r="R112" s="5" t="s">
        <v>27</v>
      </c>
      <c r="S112" s="5" t="s">
        <v>28</v>
      </c>
    </row>
    <row r="113" spans="1:19" x14ac:dyDescent="0.35">
      <c r="A113" s="8" t="s">
        <v>275</v>
      </c>
      <c r="B113" s="6" t="s">
        <v>276</v>
      </c>
      <c r="C113" s="6" t="s">
        <v>21</v>
      </c>
      <c r="D113" s="6">
        <v>29</v>
      </c>
      <c r="E113" s="6" t="s">
        <v>55</v>
      </c>
      <c r="F113" s="6" t="s">
        <v>64</v>
      </c>
      <c r="G113" s="6" t="s">
        <v>24</v>
      </c>
      <c r="H113" s="6" t="s">
        <v>131</v>
      </c>
      <c r="I113" s="6">
        <v>4</v>
      </c>
      <c r="J113" s="6">
        <v>51049</v>
      </c>
      <c r="K113" s="6" t="s">
        <v>26</v>
      </c>
      <c r="L113" s="6">
        <v>5</v>
      </c>
      <c r="M113" s="6">
        <v>19</v>
      </c>
      <c r="N113" s="6">
        <v>4</v>
      </c>
      <c r="O113" s="6" t="s">
        <v>27</v>
      </c>
      <c r="P113" s="6" t="s">
        <v>28</v>
      </c>
      <c r="Q113" s="6">
        <v>2</v>
      </c>
      <c r="R113" s="6" t="s">
        <v>27</v>
      </c>
      <c r="S113" s="6" t="s">
        <v>27</v>
      </c>
    </row>
    <row r="114" spans="1:19" x14ac:dyDescent="0.35">
      <c r="A114" s="7" t="s">
        <v>277</v>
      </c>
      <c r="B114" s="5" t="s">
        <v>278</v>
      </c>
      <c r="C114" s="5" t="s">
        <v>31</v>
      </c>
      <c r="D114" s="5">
        <v>22</v>
      </c>
      <c r="E114" s="5" t="s">
        <v>55</v>
      </c>
      <c r="F114" s="5" t="s">
        <v>23</v>
      </c>
      <c r="G114" s="5" t="s">
        <v>24</v>
      </c>
      <c r="H114" s="5" t="s">
        <v>52</v>
      </c>
      <c r="I114" s="5">
        <v>1</v>
      </c>
      <c r="J114" s="5">
        <v>68843</v>
      </c>
      <c r="K114" s="5" t="s">
        <v>45</v>
      </c>
      <c r="L114" s="5">
        <v>10</v>
      </c>
      <c r="M114" s="5">
        <v>30</v>
      </c>
      <c r="N114" s="5">
        <v>0</v>
      </c>
      <c r="O114" s="5" t="s">
        <v>27</v>
      </c>
      <c r="P114" s="5" t="s">
        <v>28</v>
      </c>
      <c r="Q114" s="5">
        <v>2</v>
      </c>
      <c r="R114" s="5" t="s">
        <v>28</v>
      </c>
      <c r="S114" s="5" t="s">
        <v>27</v>
      </c>
    </row>
    <row r="115" spans="1:19" x14ac:dyDescent="0.35">
      <c r="A115" s="8" t="s">
        <v>279</v>
      </c>
      <c r="B115" s="6" t="s">
        <v>280</v>
      </c>
      <c r="C115" s="6" t="s">
        <v>31</v>
      </c>
      <c r="D115" s="6">
        <v>45</v>
      </c>
      <c r="E115" s="6" t="s">
        <v>22</v>
      </c>
      <c r="F115" s="6" t="s">
        <v>23</v>
      </c>
      <c r="G115" s="6" t="s">
        <v>24</v>
      </c>
      <c r="H115" s="6" t="s">
        <v>131</v>
      </c>
      <c r="I115" s="6">
        <v>12</v>
      </c>
      <c r="J115" s="6">
        <v>67514</v>
      </c>
      <c r="K115" s="6" t="s">
        <v>26</v>
      </c>
      <c r="L115" s="6">
        <v>10</v>
      </c>
      <c r="M115" s="6">
        <v>35</v>
      </c>
      <c r="N115" s="6">
        <v>0</v>
      </c>
      <c r="O115" s="6" t="s">
        <v>27</v>
      </c>
      <c r="P115" s="6" t="s">
        <v>28</v>
      </c>
      <c r="Q115" s="6">
        <v>3</v>
      </c>
      <c r="R115" s="6" t="s">
        <v>27</v>
      </c>
      <c r="S115" s="6" t="s">
        <v>27</v>
      </c>
    </row>
    <row r="116" spans="1:19" x14ac:dyDescent="0.35">
      <c r="A116" s="7" t="s">
        <v>281</v>
      </c>
      <c r="B116" s="5" t="s">
        <v>282</v>
      </c>
      <c r="C116" s="5" t="s">
        <v>31</v>
      </c>
      <c r="D116" s="5">
        <v>24</v>
      </c>
      <c r="E116" s="5" t="s">
        <v>55</v>
      </c>
      <c r="F116" s="5" t="s">
        <v>43</v>
      </c>
      <c r="G116" s="5" t="s">
        <v>24</v>
      </c>
      <c r="H116" s="5" t="s">
        <v>52</v>
      </c>
      <c r="I116" s="5">
        <v>2</v>
      </c>
      <c r="J116" s="5">
        <v>65088</v>
      </c>
      <c r="K116" s="5" t="s">
        <v>45</v>
      </c>
      <c r="L116" s="5">
        <v>8</v>
      </c>
      <c r="M116" s="5">
        <v>20</v>
      </c>
      <c r="N116" s="5">
        <v>6</v>
      </c>
      <c r="O116" s="5" t="s">
        <v>27</v>
      </c>
      <c r="P116" s="5" t="s">
        <v>28</v>
      </c>
      <c r="Q116" s="5">
        <v>3</v>
      </c>
      <c r="R116" s="5" t="s">
        <v>27</v>
      </c>
      <c r="S116" s="5" t="s">
        <v>27</v>
      </c>
    </row>
    <row r="117" spans="1:19" x14ac:dyDescent="0.35">
      <c r="A117" s="8" t="s">
        <v>283</v>
      </c>
      <c r="B117" s="6" t="s">
        <v>284</v>
      </c>
      <c r="C117" s="6" t="s">
        <v>21</v>
      </c>
      <c r="D117" s="6">
        <v>50</v>
      </c>
      <c r="E117" s="6" t="s">
        <v>55</v>
      </c>
      <c r="F117" s="6" t="s">
        <v>23</v>
      </c>
      <c r="G117" s="6" t="s">
        <v>24</v>
      </c>
      <c r="H117" s="6" t="s">
        <v>25</v>
      </c>
      <c r="I117" s="6">
        <v>13</v>
      </c>
      <c r="J117" s="6">
        <v>79644</v>
      </c>
      <c r="K117" s="6" t="s">
        <v>35</v>
      </c>
      <c r="L117" s="6">
        <v>4</v>
      </c>
      <c r="M117" s="6">
        <v>43</v>
      </c>
      <c r="N117" s="6">
        <v>5</v>
      </c>
      <c r="O117" s="6" t="s">
        <v>28</v>
      </c>
      <c r="P117" s="6" t="s">
        <v>27</v>
      </c>
      <c r="Q117" s="6">
        <v>4</v>
      </c>
      <c r="R117" s="6" t="s">
        <v>27</v>
      </c>
      <c r="S117" s="6" t="s">
        <v>27</v>
      </c>
    </row>
    <row r="118" spans="1:19" x14ac:dyDescent="0.35">
      <c r="A118" s="7" t="s">
        <v>285</v>
      </c>
      <c r="B118" s="5" t="s">
        <v>286</v>
      </c>
      <c r="C118" s="5" t="s">
        <v>31</v>
      </c>
      <c r="D118" s="5">
        <v>44</v>
      </c>
      <c r="E118" s="5" t="s">
        <v>55</v>
      </c>
      <c r="F118" s="5" t="s">
        <v>60</v>
      </c>
      <c r="G118" s="5" t="s">
        <v>69</v>
      </c>
      <c r="H118" s="5" t="s">
        <v>34</v>
      </c>
      <c r="I118" s="5">
        <v>11</v>
      </c>
      <c r="J118" s="5">
        <v>67089</v>
      </c>
      <c r="K118" s="5" t="s">
        <v>45</v>
      </c>
      <c r="L118" s="5">
        <v>5</v>
      </c>
      <c r="M118" s="5">
        <v>40</v>
      </c>
      <c r="N118" s="5">
        <v>4</v>
      </c>
      <c r="O118" s="5" t="s">
        <v>27</v>
      </c>
      <c r="P118" s="5" t="s">
        <v>28</v>
      </c>
      <c r="Q118" s="5">
        <v>4</v>
      </c>
      <c r="R118" s="5" t="s">
        <v>27</v>
      </c>
      <c r="S118" s="5" t="s">
        <v>27</v>
      </c>
    </row>
    <row r="119" spans="1:19" x14ac:dyDescent="0.35">
      <c r="A119" s="8" t="s">
        <v>287</v>
      </c>
      <c r="B119" s="6" t="s">
        <v>288</v>
      </c>
      <c r="C119" s="6" t="s">
        <v>31</v>
      </c>
      <c r="D119" s="6">
        <v>47</v>
      </c>
      <c r="E119" s="6" t="s">
        <v>55</v>
      </c>
      <c r="F119" s="6" t="s">
        <v>48</v>
      </c>
      <c r="G119" s="6" t="s">
        <v>24</v>
      </c>
      <c r="H119" s="6" t="s">
        <v>52</v>
      </c>
      <c r="I119" s="6">
        <v>10</v>
      </c>
      <c r="J119" s="6">
        <v>60667</v>
      </c>
      <c r="K119" s="6" t="s">
        <v>26</v>
      </c>
      <c r="L119" s="6">
        <v>5</v>
      </c>
      <c r="M119" s="6">
        <v>60</v>
      </c>
      <c r="N119" s="6">
        <v>7</v>
      </c>
      <c r="O119" s="6" t="s">
        <v>27</v>
      </c>
      <c r="P119" s="6" t="s">
        <v>28</v>
      </c>
      <c r="Q119" s="6">
        <v>1</v>
      </c>
      <c r="R119" s="6" t="s">
        <v>27</v>
      </c>
      <c r="S119" s="6" t="s">
        <v>27</v>
      </c>
    </row>
    <row r="120" spans="1:19" x14ac:dyDescent="0.35">
      <c r="A120" s="7" t="s">
        <v>291</v>
      </c>
      <c r="B120" s="5" t="s">
        <v>292</v>
      </c>
      <c r="C120" s="5" t="s">
        <v>21</v>
      </c>
      <c r="D120" s="5">
        <v>51</v>
      </c>
      <c r="E120" s="5" t="s">
        <v>55</v>
      </c>
      <c r="F120" s="5" t="s">
        <v>48</v>
      </c>
      <c r="G120" s="5" t="s">
        <v>69</v>
      </c>
      <c r="H120" s="5" t="s">
        <v>70</v>
      </c>
      <c r="I120" s="5">
        <v>25</v>
      </c>
      <c r="J120" s="5">
        <v>56313</v>
      </c>
      <c r="K120" s="5" t="s">
        <v>26</v>
      </c>
      <c r="L120" s="5">
        <v>7</v>
      </c>
      <c r="M120" s="5">
        <v>23</v>
      </c>
      <c r="N120" s="5">
        <v>5</v>
      </c>
      <c r="O120" s="5" t="s">
        <v>27</v>
      </c>
      <c r="P120" s="5" t="s">
        <v>28</v>
      </c>
      <c r="Q120" s="5">
        <v>3</v>
      </c>
      <c r="R120" s="5" t="s">
        <v>27</v>
      </c>
      <c r="S120" s="5" t="s">
        <v>27</v>
      </c>
    </row>
    <row r="121" spans="1:19" x14ac:dyDescent="0.35">
      <c r="A121" s="8" t="s">
        <v>293</v>
      </c>
      <c r="B121" s="6" t="s">
        <v>294</v>
      </c>
      <c r="C121" s="6" t="s">
        <v>31</v>
      </c>
      <c r="D121" s="6">
        <v>30</v>
      </c>
      <c r="E121" s="6" t="s">
        <v>22</v>
      </c>
      <c r="F121" s="6" t="s">
        <v>43</v>
      </c>
      <c r="G121" s="6" t="s">
        <v>44</v>
      </c>
      <c r="H121" s="6" t="s">
        <v>49</v>
      </c>
      <c r="I121" s="6">
        <v>5</v>
      </c>
      <c r="J121" s="6">
        <v>70395</v>
      </c>
      <c r="K121" s="6" t="s">
        <v>45</v>
      </c>
      <c r="L121" s="6">
        <v>5</v>
      </c>
      <c r="M121" s="6">
        <v>22</v>
      </c>
      <c r="N121" s="6">
        <v>7</v>
      </c>
      <c r="O121" s="6" t="s">
        <v>27</v>
      </c>
      <c r="P121" s="6" t="s">
        <v>27</v>
      </c>
      <c r="Q121" s="6">
        <v>2</v>
      </c>
      <c r="R121" s="6" t="s">
        <v>27</v>
      </c>
      <c r="S121" s="6" t="s">
        <v>27</v>
      </c>
    </row>
    <row r="122" spans="1:19" x14ac:dyDescent="0.35">
      <c r="A122" s="7" t="s">
        <v>295</v>
      </c>
      <c r="B122" s="5" t="s">
        <v>296</v>
      </c>
      <c r="C122" s="5" t="s">
        <v>31</v>
      </c>
      <c r="D122" s="5">
        <v>22</v>
      </c>
      <c r="E122" s="5" t="s">
        <v>38</v>
      </c>
      <c r="F122" s="5" t="s">
        <v>60</v>
      </c>
      <c r="G122" s="5" t="s">
        <v>24</v>
      </c>
      <c r="H122" s="5" t="s">
        <v>49</v>
      </c>
      <c r="I122" s="5">
        <v>1</v>
      </c>
      <c r="J122" s="5">
        <v>63566</v>
      </c>
      <c r="K122" s="5" t="s">
        <v>45</v>
      </c>
      <c r="L122" s="5">
        <v>9</v>
      </c>
      <c r="M122" s="5">
        <v>31</v>
      </c>
      <c r="N122" s="5">
        <v>7</v>
      </c>
      <c r="O122" s="5" t="s">
        <v>28</v>
      </c>
      <c r="P122" s="5" t="s">
        <v>28</v>
      </c>
      <c r="Q122" s="5">
        <v>5</v>
      </c>
      <c r="R122" s="5" t="s">
        <v>27</v>
      </c>
      <c r="S122" s="5" t="s">
        <v>27</v>
      </c>
    </row>
    <row r="123" spans="1:19" x14ac:dyDescent="0.35">
      <c r="A123" s="8" t="s">
        <v>297</v>
      </c>
      <c r="B123" s="6" t="s">
        <v>298</v>
      </c>
      <c r="C123" s="6" t="s">
        <v>31</v>
      </c>
      <c r="D123" s="6">
        <v>36</v>
      </c>
      <c r="E123" s="6" t="s">
        <v>55</v>
      </c>
      <c r="F123" s="6" t="s">
        <v>23</v>
      </c>
      <c r="G123" s="6" t="s">
        <v>24</v>
      </c>
      <c r="H123" s="6" t="s">
        <v>49</v>
      </c>
      <c r="I123" s="6">
        <v>12</v>
      </c>
      <c r="J123" s="6">
        <v>73027</v>
      </c>
      <c r="K123" s="6" t="s">
        <v>35</v>
      </c>
      <c r="L123" s="6">
        <v>6</v>
      </c>
      <c r="M123" s="6">
        <v>15</v>
      </c>
      <c r="N123" s="6">
        <v>5</v>
      </c>
      <c r="O123" s="6" t="s">
        <v>28</v>
      </c>
      <c r="P123" s="6" t="s">
        <v>28</v>
      </c>
      <c r="Q123" s="6">
        <v>3</v>
      </c>
      <c r="R123" s="6" t="s">
        <v>27</v>
      </c>
      <c r="S123" s="6" t="s">
        <v>27</v>
      </c>
    </row>
    <row r="124" spans="1:19" x14ac:dyDescent="0.35">
      <c r="A124" s="7" t="s">
        <v>299</v>
      </c>
      <c r="B124" s="5" t="s">
        <v>300</v>
      </c>
      <c r="C124" s="5" t="s">
        <v>21</v>
      </c>
      <c r="D124" s="5">
        <v>39</v>
      </c>
      <c r="E124" s="5" t="s">
        <v>55</v>
      </c>
      <c r="F124" s="5" t="s">
        <v>60</v>
      </c>
      <c r="G124" s="5" t="s">
        <v>69</v>
      </c>
      <c r="H124" s="5" t="s">
        <v>131</v>
      </c>
      <c r="I124" s="5">
        <v>11</v>
      </c>
      <c r="J124" s="5">
        <v>51940</v>
      </c>
      <c r="K124" s="5" t="s">
        <v>35</v>
      </c>
      <c r="L124" s="5">
        <v>7</v>
      </c>
      <c r="M124" s="5">
        <v>26</v>
      </c>
      <c r="N124" s="5">
        <v>6</v>
      </c>
      <c r="O124" s="5" t="s">
        <v>28</v>
      </c>
      <c r="P124" s="5" t="s">
        <v>28</v>
      </c>
      <c r="Q124" s="5">
        <v>2</v>
      </c>
      <c r="R124" s="5" t="s">
        <v>27</v>
      </c>
      <c r="S124" s="5" t="s">
        <v>27</v>
      </c>
    </row>
    <row r="125" spans="1:19" x14ac:dyDescent="0.35">
      <c r="A125" s="8" t="s">
        <v>301</v>
      </c>
      <c r="B125" s="6" t="s">
        <v>302</v>
      </c>
      <c r="C125" s="6" t="s">
        <v>31</v>
      </c>
      <c r="D125" s="6">
        <v>34</v>
      </c>
      <c r="E125" s="6" t="s">
        <v>22</v>
      </c>
      <c r="F125" s="6" t="s">
        <v>48</v>
      </c>
      <c r="G125" s="6" t="s">
        <v>24</v>
      </c>
      <c r="H125" s="6" t="s">
        <v>70</v>
      </c>
      <c r="I125" s="6">
        <v>10</v>
      </c>
      <c r="J125" s="6">
        <v>45344</v>
      </c>
      <c r="K125" s="6" t="s">
        <v>45</v>
      </c>
      <c r="L125" s="6">
        <v>3</v>
      </c>
      <c r="M125" s="6">
        <v>31</v>
      </c>
      <c r="N125" s="6">
        <v>2</v>
      </c>
      <c r="O125" s="6" t="s">
        <v>27</v>
      </c>
      <c r="P125" s="6" t="s">
        <v>27</v>
      </c>
      <c r="Q125" s="6">
        <v>4</v>
      </c>
      <c r="R125" s="6" t="s">
        <v>27</v>
      </c>
      <c r="S125" s="6" t="s">
        <v>27</v>
      </c>
    </row>
    <row r="126" spans="1:19" x14ac:dyDescent="0.35">
      <c r="A126" s="7" t="s">
        <v>303</v>
      </c>
      <c r="B126" s="5" t="s">
        <v>304</v>
      </c>
      <c r="C126" s="5" t="s">
        <v>21</v>
      </c>
      <c r="D126" s="5">
        <v>54</v>
      </c>
      <c r="E126" s="5" t="s">
        <v>55</v>
      </c>
      <c r="F126" s="5" t="s">
        <v>43</v>
      </c>
      <c r="G126" s="5" t="s">
        <v>44</v>
      </c>
      <c r="H126" s="5" t="s">
        <v>61</v>
      </c>
      <c r="I126" s="5">
        <v>20</v>
      </c>
      <c r="J126" s="5">
        <v>82000</v>
      </c>
      <c r="K126" s="5" t="s">
        <v>26</v>
      </c>
      <c r="L126" s="5">
        <v>8</v>
      </c>
      <c r="M126" s="5">
        <v>36</v>
      </c>
      <c r="N126" s="5">
        <v>4</v>
      </c>
      <c r="O126" s="5" t="s">
        <v>27</v>
      </c>
      <c r="P126" s="5" t="s">
        <v>28</v>
      </c>
      <c r="Q126" s="5">
        <v>2</v>
      </c>
      <c r="R126" s="5" t="s">
        <v>27</v>
      </c>
      <c r="S126" s="5" t="s">
        <v>27</v>
      </c>
    </row>
    <row r="127" spans="1:19" x14ac:dyDescent="0.35">
      <c r="A127" s="8" t="s">
        <v>305</v>
      </c>
      <c r="B127" s="6" t="s">
        <v>306</v>
      </c>
      <c r="C127" s="6" t="s">
        <v>31</v>
      </c>
      <c r="D127" s="6">
        <v>32</v>
      </c>
      <c r="E127" s="6" t="s">
        <v>55</v>
      </c>
      <c r="F127" s="6" t="s">
        <v>23</v>
      </c>
      <c r="G127" s="6" t="s">
        <v>24</v>
      </c>
      <c r="H127" s="6" t="s">
        <v>70</v>
      </c>
      <c r="I127" s="6">
        <v>9</v>
      </c>
      <c r="J127" s="6">
        <v>68836</v>
      </c>
      <c r="K127" s="6" t="s">
        <v>26</v>
      </c>
      <c r="L127" s="6">
        <v>5</v>
      </c>
      <c r="M127" s="6">
        <v>25</v>
      </c>
      <c r="N127" s="6">
        <v>2</v>
      </c>
      <c r="O127" s="6" t="s">
        <v>28</v>
      </c>
      <c r="P127" s="6" t="s">
        <v>28</v>
      </c>
      <c r="Q127" s="6">
        <v>4</v>
      </c>
      <c r="R127" s="6" t="s">
        <v>27</v>
      </c>
      <c r="S127" s="6" t="s">
        <v>27</v>
      </c>
    </row>
    <row r="128" spans="1:19" x14ac:dyDescent="0.35">
      <c r="A128" s="7" t="s">
        <v>307</v>
      </c>
      <c r="B128" s="5" t="s">
        <v>308</v>
      </c>
      <c r="C128" s="5" t="s">
        <v>21</v>
      </c>
      <c r="D128" s="5">
        <v>24</v>
      </c>
      <c r="E128" s="5" t="s">
        <v>55</v>
      </c>
      <c r="F128" s="5" t="s">
        <v>23</v>
      </c>
      <c r="G128" s="5" t="s">
        <v>24</v>
      </c>
      <c r="H128" s="5" t="s">
        <v>131</v>
      </c>
      <c r="I128" s="5">
        <v>2</v>
      </c>
      <c r="J128" s="5">
        <v>63310</v>
      </c>
      <c r="K128" s="5" t="s">
        <v>26</v>
      </c>
      <c r="L128" s="5">
        <v>1</v>
      </c>
      <c r="M128" s="5">
        <v>44</v>
      </c>
      <c r="N128" s="5">
        <v>6</v>
      </c>
      <c r="O128" s="5" t="s">
        <v>27</v>
      </c>
      <c r="P128" s="5" t="s">
        <v>27</v>
      </c>
      <c r="Q128" s="5">
        <v>1</v>
      </c>
      <c r="R128" s="5" t="s">
        <v>27</v>
      </c>
      <c r="S128" s="5" t="s">
        <v>27</v>
      </c>
    </row>
    <row r="129" spans="1:19" x14ac:dyDescent="0.35">
      <c r="A129" s="8" t="s">
        <v>309</v>
      </c>
      <c r="B129" s="6" t="s">
        <v>310</v>
      </c>
      <c r="C129" s="6" t="s">
        <v>31</v>
      </c>
      <c r="D129" s="6">
        <v>31</v>
      </c>
      <c r="E129" s="6" t="s">
        <v>55</v>
      </c>
      <c r="F129" s="6" t="s">
        <v>43</v>
      </c>
      <c r="G129" s="6" t="s">
        <v>24</v>
      </c>
      <c r="H129" s="6" t="s">
        <v>70</v>
      </c>
      <c r="I129" s="6">
        <v>5</v>
      </c>
      <c r="J129" s="6">
        <v>78071</v>
      </c>
      <c r="K129" s="6" t="s">
        <v>26</v>
      </c>
      <c r="L129" s="6">
        <v>2</v>
      </c>
      <c r="M129" s="6">
        <v>15</v>
      </c>
      <c r="N129" s="6">
        <v>3</v>
      </c>
      <c r="O129" s="6" t="s">
        <v>27</v>
      </c>
      <c r="P129" s="6" t="s">
        <v>27</v>
      </c>
      <c r="Q129" s="6">
        <v>4</v>
      </c>
      <c r="R129" s="6" t="s">
        <v>27</v>
      </c>
      <c r="S129" s="6" t="s">
        <v>27</v>
      </c>
    </row>
    <row r="130" spans="1:19" x14ac:dyDescent="0.35">
      <c r="A130" s="7" t="s">
        <v>311</v>
      </c>
      <c r="B130" s="5" t="s">
        <v>312</v>
      </c>
      <c r="C130" s="5" t="s">
        <v>21</v>
      </c>
      <c r="D130" s="5">
        <v>26</v>
      </c>
      <c r="E130" s="5" t="s">
        <v>55</v>
      </c>
      <c r="F130" s="5" t="s">
        <v>43</v>
      </c>
      <c r="G130" s="5" t="s">
        <v>24</v>
      </c>
      <c r="H130" s="5" t="s">
        <v>131</v>
      </c>
      <c r="I130" s="5">
        <v>2</v>
      </c>
      <c r="J130" s="5">
        <v>60196</v>
      </c>
      <c r="K130" s="5" t="s">
        <v>26</v>
      </c>
      <c r="L130" s="5">
        <v>3</v>
      </c>
      <c r="M130" s="5">
        <v>31</v>
      </c>
      <c r="N130" s="5">
        <v>7</v>
      </c>
      <c r="O130" s="5" t="s">
        <v>28</v>
      </c>
      <c r="P130" s="5" t="s">
        <v>28</v>
      </c>
      <c r="Q130" s="5">
        <v>1</v>
      </c>
      <c r="R130" s="5" t="s">
        <v>27</v>
      </c>
      <c r="S130" s="5" t="s">
        <v>27</v>
      </c>
    </row>
    <row r="131" spans="1:19" x14ac:dyDescent="0.35">
      <c r="A131" s="8" t="s">
        <v>313</v>
      </c>
      <c r="B131" s="6" t="s">
        <v>314</v>
      </c>
      <c r="C131" s="6" t="s">
        <v>21</v>
      </c>
      <c r="D131" s="6">
        <v>54</v>
      </c>
      <c r="E131" s="6" t="s">
        <v>38</v>
      </c>
      <c r="F131" s="6" t="s">
        <v>33</v>
      </c>
      <c r="G131" s="6" t="s">
        <v>24</v>
      </c>
      <c r="H131" s="6" t="s">
        <v>70</v>
      </c>
      <c r="I131" s="6">
        <v>17</v>
      </c>
      <c r="J131" s="6">
        <v>57035</v>
      </c>
      <c r="K131" s="6" t="s">
        <v>35</v>
      </c>
      <c r="L131" s="6">
        <v>10</v>
      </c>
      <c r="M131" s="6">
        <v>30</v>
      </c>
      <c r="N131" s="6">
        <v>4</v>
      </c>
      <c r="O131" s="6" t="s">
        <v>28</v>
      </c>
      <c r="P131" s="6" t="s">
        <v>28</v>
      </c>
      <c r="Q131" s="6">
        <v>5</v>
      </c>
      <c r="R131" s="6" t="s">
        <v>27</v>
      </c>
      <c r="S131" s="6" t="s">
        <v>28</v>
      </c>
    </row>
    <row r="132" spans="1:19" x14ac:dyDescent="0.35">
      <c r="A132" s="7" t="s">
        <v>315</v>
      </c>
      <c r="B132" s="5" t="s">
        <v>316</v>
      </c>
      <c r="C132" s="5" t="s">
        <v>31</v>
      </c>
      <c r="D132" s="5">
        <v>48</v>
      </c>
      <c r="E132" s="5" t="s">
        <v>32</v>
      </c>
      <c r="F132" s="5" t="s">
        <v>39</v>
      </c>
      <c r="G132" s="5" t="s">
        <v>69</v>
      </c>
      <c r="H132" s="5" t="s">
        <v>52</v>
      </c>
      <c r="I132" s="5">
        <v>22</v>
      </c>
      <c r="J132" s="5">
        <v>68789</v>
      </c>
      <c r="K132" s="5" t="s">
        <v>26</v>
      </c>
      <c r="L132" s="5">
        <v>10</v>
      </c>
      <c r="M132" s="5">
        <v>12</v>
      </c>
      <c r="N132" s="5">
        <v>2</v>
      </c>
      <c r="O132" s="5" t="s">
        <v>28</v>
      </c>
      <c r="P132" s="5" t="s">
        <v>28</v>
      </c>
      <c r="Q132" s="5">
        <v>2</v>
      </c>
      <c r="R132" s="5" t="s">
        <v>28</v>
      </c>
      <c r="S132" s="5" t="s">
        <v>27</v>
      </c>
    </row>
    <row r="133" spans="1:19" x14ac:dyDescent="0.35">
      <c r="A133" s="8" t="s">
        <v>317</v>
      </c>
      <c r="B133" s="6" t="s">
        <v>318</v>
      </c>
      <c r="C133" s="6" t="s">
        <v>31</v>
      </c>
      <c r="D133" s="6">
        <v>35</v>
      </c>
      <c r="E133" s="6" t="s">
        <v>55</v>
      </c>
      <c r="F133" s="6" t="s">
        <v>48</v>
      </c>
      <c r="G133" s="6" t="s">
        <v>24</v>
      </c>
      <c r="H133" s="6" t="s">
        <v>49</v>
      </c>
      <c r="I133" s="6">
        <v>11</v>
      </c>
      <c r="J133" s="6">
        <v>52727</v>
      </c>
      <c r="K133" s="6" t="s">
        <v>45</v>
      </c>
      <c r="L133" s="6">
        <v>8</v>
      </c>
      <c r="M133" s="6">
        <v>42</v>
      </c>
      <c r="N133" s="6">
        <v>1</v>
      </c>
      <c r="O133" s="6" t="s">
        <v>27</v>
      </c>
      <c r="P133" s="6" t="s">
        <v>27</v>
      </c>
      <c r="Q133" s="6">
        <v>1</v>
      </c>
      <c r="R133" s="6" t="s">
        <v>27</v>
      </c>
      <c r="S133" s="6" t="s">
        <v>27</v>
      </c>
    </row>
    <row r="134" spans="1:19" x14ac:dyDescent="0.35">
      <c r="A134" s="7" t="s">
        <v>319</v>
      </c>
      <c r="B134" s="5" t="s">
        <v>320</v>
      </c>
      <c r="C134" s="5" t="s">
        <v>31</v>
      </c>
      <c r="D134" s="5">
        <v>40</v>
      </c>
      <c r="E134" s="5" t="s">
        <v>32</v>
      </c>
      <c r="F134" s="5" t="s">
        <v>43</v>
      </c>
      <c r="G134" s="5" t="s">
        <v>69</v>
      </c>
      <c r="H134" s="5" t="s">
        <v>34</v>
      </c>
      <c r="I134" s="5">
        <v>12</v>
      </c>
      <c r="J134" s="5">
        <v>82000</v>
      </c>
      <c r="K134" s="5" t="s">
        <v>35</v>
      </c>
      <c r="L134" s="5">
        <v>3</v>
      </c>
      <c r="M134" s="5">
        <v>36</v>
      </c>
      <c r="N134" s="5">
        <v>3</v>
      </c>
      <c r="O134" s="5" t="s">
        <v>27</v>
      </c>
      <c r="P134" s="5" t="s">
        <v>27</v>
      </c>
      <c r="Q134" s="5">
        <v>3</v>
      </c>
      <c r="R134" s="5" t="s">
        <v>28</v>
      </c>
      <c r="S134" s="5" t="s">
        <v>27</v>
      </c>
    </row>
    <row r="135" spans="1:19" x14ac:dyDescent="0.35">
      <c r="A135" s="8" t="s">
        <v>321</v>
      </c>
      <c r="B135" s="6" t="s">
        <v>322</v>
      </c>
      <c r="C135" s="6" t="s">
        <v>21</v>
      </c>
      <c r="D135" s="6">
        <v>23</v>
      </c>
      <c r="E135" s="6" t="s">
        <v>38</v>
      </c>
      <c r="F135" s="6" t="s">
        <v>43</v>
      </c>
      <c r="G135" s="6" t="s">
        <v>24</v>
      </c>
      <c r="H135" s="6" t="s">
        <v>25</v>
      </c>
      <c r="I135" s="6">
        <v>1</v>
      </c>
      <c r="J135" s="6">
        <v>67393</v>
      </c>
      <c r="K135" s="6" t="s">
        <v>45</v>
      </c>
      <c r="L135" s="6">
        <v>10</v>
      </c>
      <c r="M135" s="6">
        <v>56</v>
      </c>
      <c r="N135" s="6">
        <v>3</v>
      </c>
      <c r="O135" s="6" t="s">
        <v>27</v>
      </c>
      <c r="P135" s="6" t="s">
        <v>28</v>
      </c>
      <c r="Q135" s="6">
        <v>3</v>
      </c>
      <c r="R135" s="6" t="s">
        <v>27</v>
      </c>
      <c r="S135" s="6" t="s">
        <v>27</v>
      </c>
    </row>
    <row r="136" spans="1:19" x14ac:dyDescent="0.35">
      <c r="A136" s="7" t="s">
        <v>323</v>
      </c>
      <c r="B136" s="5" t="s">
        <v>324</v>
      </c>
      <c r="C136" s="5" t="s">
        <v>21</v>
      </c>
      <c r="D136" s="5">
        <v>45</v>
      </c>
      <c r="E136" s="5" t="s">
        <v>55</v>
      </c>
      <c r="F136" s="5" t="s">
        <v>60</v>
      </c>
      <c r="G136" s="5" t="s">
        <v>44</v>
      </c>
      <c r="H136" s="5" t="s">
        <v>70</v>
      </c>
      <c r="I136" s="5">
        <v>19</v>
      </c>
      <c r="J136" s="5">
        <v>67283</v>
      </c>
      <c r="K136" s="5" t="s">
        <v>45</v>
      </c>
      <c r="L136" s="5">
        <v>8</v>
      </c>
      <c r="M136" s="5">
        <v>23</v>
      </c>
      <c r="N136" s="5">
        <v>4</v>
      </c>
      <c r="O136" s="5" t="s">
        <v>27</v>
      </c>
      <c r="P136" s="5" t="s">
        <v>28</v>
      </c>
      <c r="Q136" s="5">
        <v>4</v>
      </c>
      <c r="R136" s="5" t="s">
        <v>27</v>
      </c>
      <c r="S136" s="5" t="s">
        <v>27</v>
      </c>
    </row>
    <row r="137" spans="1:19" x14ac:dyDescent="0.35">
      <c r="A137" s="8" t="s">
        <v>325</v>
      </c>
      <c r="B137" s="6" t="s">
        <v>326</v>
      </c>
      <c r="C137" s="6" t="s">
        <v>31</v>
      </c>
      <c r="D137" s="6">
        <v>41</v>
      </c>
      <c r="E137" s="6" t="s">
        <v>55</v>
      </c>
      <c r="F137" s="6" t="s">
        <v>64</v>
      </c>
      <c r="G137" s="6" t="s">
        <v>44</v>
      </c>
      <c r="H137" s="6" t="s">
        <v>131</v>
      </c>
      <c r="I137" s="6">
        <v>15</v>
      </c>
      <c r="J137" s="6">
        <v>70749</v>
      </c>
      <c r="K137" s="6" t="s">
        <v>45</v>
      </c>
      <c r="L137" s="6">
        <v>2</v>
      </c>
      <c r="M137" s="6">
        <v>37</v>
      </c>
      <c r="N137" s="6">
        <v>6</v>
      </c>
      <c r="O137" s="6" t="s">
        <v>27</v>
      </c>
      <c r="P137" s="6" t="s">
        <v>27</v>
      </c>
      <c r="Q137" s="6">
        <v>1</v>
      </c>
      <c r="R137" s="6" t="s">
        <v>28</v>
      </c>
      <c r="S137" s="6" t="s">
        <v>27</v>
      </c>
    </row>
    <row r="138" spans="1:19" x14ac:dyDescent="0.35">
      <c r="A138" s="7" t="s">
        <v>327</v>
      </c>
      <c r="B138" s="5" t="s">
        <v>328</v>
      </c>
      <c r="C138" s="5" t="s">
        <v>21</v>
      </c>
      <c r="D138" s="5">
        <v>27</v>
      </c>
      <c r="E138" s="5" t="s">
        <v>38</v>
      </c>
      <c r="F138" s="5" t="s">
        <v>48</v>
      </c>
      <c r="G138" s="5" t="s">
        <v>24</v>
      </c>
      <c r="H138" s="5" t="s">
        <v>52</v>
      </c>
      <c r="I138" s="5">
        <v>5</v>
      </c>
      <c r="J138" s="5">
        <v>45578</v>
      </c>
      <c r="K138" s="5" t="s">
        <v>45</v>
      </c>
      <c r="L138" s="5">
        <v>4</v>
      </c>
      <c r="M138" s="5">
        <v>9</v>
      </c>
      <c r="N138" s="5">
        <v>7</v>
      </c>
      <c r="O138" s="5" t="s">
        <v>28</v>
      </c>
      <c r="P138" s="5" t="s">
        <v>28</v>
      </c>
      <c r="Q138" s="5">
        <v>1</v>
      </c>
      <c r="R138" s="5" t="s">
        <v>27</v>
      </c>
      <c r="S138" s="5" t="s">
        <v>27</v>
      </c>
    </row>
    <row r="139" spans="1:19" x14ac:dyDescent="0.35">
      <c r="A139" s="8" t="s">
        <v>329</v>
      </c>
      <c r="B139" s="6" t="s">
        <v>330</v>
      </c>
      <c r="C139" s="6" t="s">
        <v>31</v>
      </c>
      <c r="D139" s="6">
        <v>39</v>
      </c>
      <c r="E139" s="6" t="s">
        <v>55</v>
      </c>
      <c r="F139" s="6" t="s">
        <v>39</v>
      </c>
      <c r="G139" s="6" t="s">
        <v>24</v>
      </c>
      <c r="H139" s="6" t="s">
        <v>49</v>
      </c>
      <c r="I139" s="6">
        <v>8</v>
      </c>
      <c r="J139" s="6">
        <v>53072</v>
      </c>
      <c r="K139" s="6" t="s">
        <v>26</v>
      </c>
      <c r="L139" s="6">
        <v>3</v>
      </c>
      <c r="M139" s="6">
        <v>43</v>
      </c>
      <c r="N139" s="6">
        <v>5</v>
      </c>
      <c r="O139" s="6" t="s">
        <v>27</v>
      </c>
      <c r="P139" s="6" t="s">
        <v>27</v>
      </c>
      <c r="Q139" s="6">
        <v>2</v>
      </c>
      <c r="R139" s="6" t="s">
        <v>28</v>
      </c>
      <c r="S139" s="6" t="s">
        <v>27</v>
      </c>
    </row>
    <row r="140" spans="1:19" x14ac:dyDescent="0.35">
      <c r="A140" s="7" t="s">
        <v>331</v>
      </c>
      <c r="B140" s="5" t="s">
        <v>332</v>
      </c>
      <c r="C140" s="5" t="s">
        <v>21</v>
      </c>
      <c r="D140" s="5">
        <v>27</v>
      </c>
      <c r="E140" s="5" t="s">
        <v>55</v>
      </c>
      <c r="F140" s="5" t="s">
        <v>48</v>
      </c>
      <c r="G140" s="5" t="s">
        <v>24</v>
      </c>
      <c r="H140" s="5" t="s">
        <v>131</v>
      </c>
      <c r="I140" s="5">
        <v>3</v>
      </c>
      <c r="J140" s="5">
        <v>46276</v>
      </c>
      <c r="K140" s="5" t="s">
        <v>35</v>
      </c>
      <c r="L140" s="5">
        <v>6</v>
      </c>
      <c r="M140" s="5">
        <v>24</v>
      </c>
      <c r="N140" s="5">
        <v>3</v>
      </c>
      <c r="O140" s="5" t="s">
        <v>27</v>
      </c>
      <c r="P140" s="5" t="s">
        <v>28</v>
      </c>
      <c r="Q140" s="5">
        <v>4</v>
      </c>
      <c r="R140" s="5" t="s">
        <v>28</v>
      </c>
      <c r="S140" s="5" t="s">
        <v>27</v>
      </c>
    </row>
    <row r="141" spans="1:19" x14ac:dyDescent="0.35">
      <c r="A141" s="8" t="s">
        <v>333</v>
      </c>
      <c r="B141" s="6" t="s">
        <v>334</v>
      </c>
      <c r="C141" s="6" t="s">
        <v>31</v>
      </c>
      <c r="D141" s="6">
        <v>52</v>
      </c>
      <c r="E141" s="6" t="s">
        <v>55</v>
      </c>
      <c r="F141" s="6" t="s">
        <v>43</v>
      </c>
      <c r="G141" s="6" t="s">
        <v>24</v>
      </c>
      <c r="H141" s="6" t="s">
        <v>52</v>
      </c>
      <c r="I141" s="6">
        <v>11</v>
      </c>
      <c r="J141" s="6">
        <v>79670</v>
      </c>
      <c r="K141" s="6" t="s">
        <v>45</v>
      </c>
      <c r="L141" s="6">
        <v>2</v>
      </c>
      <c r="M141" s="6">
        <v>35</v>
      </c>
      <c r="N141" s="6">
        <v>1</v>
      </c>
      <c r="O141" s="6" t="s">
        <v>28</v>
      </c>
      <c r="P141" s="6" t="s">
        <v>27</v>
      </c>
      <c r="Q141" s="6">
        <v>3</v>
      </c>
      <c r="R141" s="6" t="s">
        <v>27</v>
      </c>
      <c r="S141" s="6" t="s">
        <v>28</v>
      </c>
    </row>
    <row r="142" spans="1:19" x14ac:dyDescent="0.35">
      <c r="A142" s="7" t="s">
        <v>335</v>
      </c>
      <c r="B142" s="5" t="s">
        <v>336</v>
      </c>
      <c r="C142" s="5" t="s">
        <v>31</v>
      </c>
      <c r="D142" s="5">
        <v>47</v>
      </c>
      <c r="E142" s="5" t="s">
        <v>38</v>
      </c>
      <c r="F142" s="5" t="s">
        <v>48</v>
      </c>
      <c r="G142" s="5" t="s">
        <v>24</v>
      </c>
      <c r="H142" s="5" t="s">
        <v>25</v>
      </c>
      <c r="I142" s="5">
        <v>18</v>
      </c>
      <c r="J142" s="5">
        <v>58780</v>
      </c>
      <c r="K142" s="5" t="s">
        <v>35</v>
      </c>
      <c r="L142" s="5">
        <v>7</v>
      </c>
      <c r="M142" s="5">
        <v>17</v>
      </c>
      <c r="N142" s="5">
        <v>4</v>
      </c>
      <c r="O142" s="5" t="s">
        <v>27</v>
      </c>
      <c r="P142" s="5" t="s">
        <v>27</v>
      </c>
      <c r="Q142" s="5">
        <v>3</v>
      </c>
      <c r="R142" s="5" t="s">
        <v>27</v>
      </c>
      <c r="S142" s="5" t="s">
        <v>27</v>
      </c>
    </row>
    <row r="143" spans="1:19" x14ac:dyDescent="0.35">
      <c r="A143" s="8" t="s">
        <v>337</v>
      </c>
      <c r="B143" s="6" t="s">
        <v>338</v>
      </c>
      <c r="C143" s="6" t="s">
        <v>21</v>
      </c>
      <c r="D143" s="6">
        <v>25</v>
      </c>
      <c r="E143" s="6" t="s">
        <v>32</v>
      </c>
      <c r="F143" s="6" t="s">
        <v>64</v>
      </c>
      <c r="G143" s="6" t="s">
        <v>24</v>
      </c>
      <c r="H143" s="6" t="s">
        <v>61</v>
      </c>
      <c r="I143" s="6">
        <v>2</v>
      </c>
      <c r="J143" s="6">
        <v>44471</v>
      </c>
      <c r="K143" s="6" t="s">
        <v>26</v>
      </c>
      <c r="L143" s="6">
        <v>8</v>
      </c>
      <c r="M143" s="6">
        <v>24</v>
      </c>
      <c r="N143" s="6">
        <v>7</v>
      </c>
      <c r="O143" s="6" t="s">
        <v>27</v>
      </c>
      <c r="P143" s="6" t="s">
        <v>28</v>
      </c>
      <c r="Q143" s="6">
        <v>5</v>
      </c>
      <c r="R143" s="6" t="s">
        <v>27</v>
      </c>
      <c r="S143" s="6" t="s">
        <v>27</v>
      </c>
    </row>
    <row r="144" spans="1:19" x14ac:dyDescent="0.35">
      <c r="A144" s="7" t="s">
        <v>339</v>
      </c>
      <c r="B144" s="5" t="s">
        <v>340</v>
      </c>
      <c r="C144" s="5" t="s">
        <v>31</v>
      </c>
      <c r="D144" s="5">
        <v>31</v>
      </c>
      <c r="E144" s="5" t="s">
        <v>55</v>
      </c>
      <c r="F144" s="5" t="s">
        <v>43</v>
      </c>
      <c r="G144" s="5" t="s">
        <v>24</v>
      </c>
      <c r="H144" s="5" t="s">
        <v>131</v>
      </c>
      <c r="I144" s="5">
        <v>4</v>
      </c>
      <c r="J144" s="5">
        <v>71643</v>
      </c>
      <c r="K144" s="5" t="s">
        <v>35</v>
      </c>
      <c r="L144" s="5">
        <v>3</v>
      </c>
      <c r="M144" s="5">
        <v>45</v>
      </c>
      <c r="N144" s="5">
        <v>4</v>
      </c>
      <c r="O144" s="5" t="s">
        <v>28</v>
      </c>
      <c r="P144" s="5" t="s">
        <v>27</v>
      </c>
      <c r="Q144" s="5">
        <v>5</v>
      </c>
      <c r="R144" s="5" t="s">
        <v>28</v>
      </c>
      <c r="S144" s="5" t="s">
        <v>27</v>
      </c>
    </row>
    <row r="145" spans="1:19" x14ac:dyDescent="0.35">
      <c r="A145" s="8" t="s">
        <v>341</v>
      </c>
      <c r="B145" s="6" t="s">
        <v>342</v>
      </c>
      <c r="C145" s="6" t="s">
        <v>31</v>
      </c>
      <c r="D145" s="6">
        <v>23</v>
      </c>
      <c r="E145" s="6" t="s">
        <v>55</v>
      </c>
      <c r="F145" s="6" t="s">
        <v>48</v>
      </c>
      <c r="G145" s="6" t="s">
        <v>24</v>
      </c>
      <c r="H145" s="6" t="s">
        <v>52</v>
      </c>
      <c r="I145" s="6">
        <v>1</v>
      </c>
      <c r="J145" s="6">
        <v>51677</v>
      </c>
      <c r="K145" s="6" t="s">
        <v>45</v>
      </c>
      <c r="L145" s="6">
        <v>2</v>
      </c>
      <c r="M145" s="6">
        <v>39</v>
      </c>
      <c r="N145" s="6">
        <v>3</v>
      </c>
      <c r="O145" s="6" t="s">
        <v>27</v>
      </c>
      <c r="P145" s="6" t="s">
        <v>27</v>
      </c>
      <c r="Q145" s="6">
        <v>5</v>
      </c>
      <c r="R145" s="6" t="s">
        <v>27</v>
      </c>
      <c r="S145" s="6" t="s">
        <v>27</v>
      </c>
    </row>
    <row r="146" spans="1:19" x14ac:dyDescent="0.35">
      <c r="A146" s="7" t="s">
        <v>343</v>
      </c>
      <c r="B146" s="5" t="s">
        <v>344</v>
      </c>
      <c r="C146" s="5" t="s">
        <v>21</v>
      </c>
      <c r="D146" s="5">
        <v>54</v>
      </c>
      <c r="E146" s="5" t="s">
        <v>55</v>
      </c>
      <c r="F146" s="5" t="s">
        <v>23</v>
      </c>
      <c r="G146" s="5" t="s">
        <v>24</v>
      </c>
      <c r="H146" s="5" t="s">
        <v>131</v>
      </c>
      <c r="I146" s="5">
        <v>24</v>
      </c>
      <c r="J146" s="5">
        <v>82000</v>
      </c>
      <c r="K146" s="5" t="s">
        <v>45</v>
      </c>
      <c r="L146" s="5">
        <v>3</v>
      </c>
      <c r="M146" s="5">
        <v>29</v>
      </c>
      <c r="N146" s="5">
        <v>2</v>
      </c>
      <c r="O146" s="5" t="s">
        <v>27</v>
      </c>
      <c r="P146" s="5" t="s">
        <v>27</v>
      </c>
      <c r="Q146" s="5">
        <v>3</v>
      </c>
      <c r="R146" s="5" t="s">
        <v>27</v>
      </c>
      <c r="S146" s="5" t="s">
        <v>27</v>
      </c>
    </row>
    <row r="147" spans="1:19" x14ac:dyDescent="0.35">
      <c r="A147" s="8" t="s">
        <v>345</v>
      </c>
      <c r="B147" s="6" t="s">
        <v>346</v>
      </c>
      <c r="C147" s="6" t="s">
        <v>31</v>
      </c>
      <c r="D147" s="6">
        <v>30</v>
      </c>
      <c r="E147" s="6" t="s">
        <v>38</v>
      </c>
      <c r="F147" s="6" t="s">
        <v>39</v>
      </c>
      <c r="G147" s="6" t="s">
        <v>24</v>
      </c>
      <c r="H147" s="6" t="s">
        <v>25</v>
      </c>
      <c r="I147" s="6">
        <v>8</v>
      </c>
      <c r="J147" s="6">
        <v>61250</v>
      </c>
      <c r="K147" s="6" t="s">
        <v>26</v>
      </c>
      <c r="L147" s="6">
        <v>2</v>
      </c>
      <c r="M147" s="6">
        <v>29</v>
      </c>
      <c r="N147" s="6">
        <v>4</v>
      </c>
      <c r="O147" s="6" t="s">
        <v>28</v>
      </c>
      <c r="P147" s="6" t="s">
        <v>28</v>
      </c>
      <c r="Q147" s="6">
        <v>4</v>
      </c>
      <c r="R147" s="6" t="s">
        <v>27</v>
      </c>
      <c r="S147" s="6" t="s">
        <v>27</v>
      </c>
    </row>
    <row r="148" spans="1:19" x14ac:dyDescent="0.35">
      <c r="A148" s="7" t="s">
        <v>347</v>
      </c>
      <c r="B148" s="5" t="s">
        <v>348</v>
      </c>
      <c r="C148" s="5" t="s">
        <v>31</v>
      </c>
      <c r="D148" s="5">
        <v>26</v>
      </c>
      <c r="E148" s="5" t="s">
        <v>38</v>
      </c>
      <c r="F148" s="5" t="s">
        <v>39</v>
      </c>
      <c r="G148" s="5" t="s">
        <v>44</v>
      </c>
      <c r="H148" s="5" t="s">
        <v>49</v>
      </c>
      <c r="I148" s="5">
        <v>3</v>
      </c>
      <c r="J148" s="5">
        <v>61913</v>
      </c>
      <c r="K148" s="5" t="s">
        <v>45</v>
      </c>
      <c r="L148" s="5">
        <v>1</v>
      </c>
      <c r="M148" s="5">
        <v>0</v>
      </c>
      <c r="N148" s="5">
        <v>4</v>
      </c>
      <c r="O148" s="5" t="s">
        <v>27</v>
      </c>
      <c r="P148" s="5" t="s">
        <v>27</v>
      </c>
      <c r="Q148" s="5">
        <v>5</v>
      </c>
      <c r="R148" s="5" t="s">
        <v>27</v>
      </c>
      <c r="S148" s="5" t="s">
        <v>27</v>
      </c>
    </row>
    <row r="149" spans="1:19" x14ac:dyDescent="0.35">
      <c r="A149" s="8" t="s">
        <v>349</v>
      </c>
      <c r="B149" s="6" t="s">
        <v>350</v>
      </c>
      <c r="C149" s="6" t="s">
        <v>31</v>
      </c>
      <c r="D149" s="6">
        <v>21</v>
      </c>
      <c r="E149" s="6" t="s">
        <v>32</v>
      </c>
      <c r="F149" s="6" t="s">
        <v>351</v>
      </c>
      <c r="G149" s="6" t="s">
        <v>24</v>
      </c>
      <c r="H149" s="6" t="s">
        <v>131</v>
      </c>
      <c r="I149" s="6">
        <v>0</v>
      </c>
      <c r="J149" s="6">
        <v>44371</v>
      </c>
      <c r="K149" s="6" t="s">
        <v>26</v>
      </c>
      <c r="L149" s="6">
        <v>8</v>
      </c>
      <c r="M149" s="6">
        <v>51</v>
      </c>
      <c r="N149" s="6">
        <v>6</v>
      </c>
      <c r="O149" s="6" t="s">
        <v>28</v>
      </c>
      <c r="P149" s="6" t="s">
        <v>28</v>
      </c>
      <c r="Q149" s="6">
        <v>1</v>
      </c>
      <c r="R149" s="6" t="s">
        <v>27</v>
      </c>
      <c r="S149" s="6" t="s">
        <v>27</v>
      </c>
    </row>
    <row r="150" spans="1:19" x14ac:dyDescent="0.35">
      <c r="A150" s="7" t="s">
        <v>352</v>
      </c>
      <c r="B150" s="5" t="s">
        <v>353</v>
      </c>
      <c r="C150" s="5" t="s">
        <v>21</v>
      </c>
      <c r="D150" s="5">
        <v>26</v>
      </c>
      <c r="E150" s="5" t="s">
        <v>38</v>
      </c>
      <c r="F150" s="5" t="s">
        <v>60</v>
      </c>
      <c r="G150" s="5" t="s">
        <v>24</v>
      </c>
      <c r="H150" s="5" t="s">
        <v>70</v>
      </c>
      <c r="I150" s="5">
        <v>2</v>
      </c>
      <c r="J150" s="5">
        <v>54329</v>
      </c>
      <c r="K150" s="5" t="s">
        <v>26</v>
      </c>
      <c r="L150" s="5">
        <v>6</v>
      </c>
      <c r="M150" s="5">
        <v>34</v>
      </c>
      <c r="N150" s="5">
        <v>6</v>
      </c>
      <c r="O150" s="5" t="s">
        <v>28</v>
      </c>
      <c r="P150" s="5" t="s">
        <v>27</v>
      </c>
      <c r="Q150" s="5">
        <v>3</v>
      </c>
      <c r="R150" s="5" t="s">
        <v>27</v>
      </c>
      <c r="S150" s="5" t="s">
        <v>27</v>
      </c>
    </row>
    <row r="151" spans="1:19" x14ac:dyDescent="0.35">
      <c r="A151" s="8" t="s">
        <v>354</v>
      </c>
      <c r="B151" s="6" t="s">
        <v>355</v>
      </c>
      <c r="C151" s="6" t="s">
        <v>31</v>
      </c>
      <c r="D151" s="6">
        <v>55</v>
      </c>
      <c r="E151" s="6" t="s">
        <v>38</v>
      </c>
      <c r="F151" s="6" t="s">
        <v>23</v>
      </c>
      <c r="G151" s="6" t="s">
        <v>69</v>
      </c>
      <c r="H151" s="6" t="s">
        <v>61</v>
      </c>
      <c r="I151" s="6">
        <v>26</v>
      </c>
      <c r="J151" s="6">
        <v>68712</v>
      </c>
      <c r="K151" s="6" t="s">
        <v>45</v>
      </c>
      <c r="L151" s="6">
        <v>6</v>
      </c>
      <c r="M151" s="6">
        <v>19</v>
      </c>
      <c r="N151" s="6">
        <v>3</v>
      </c>
      <c r="O151" s="6" t="s">
        <v>27</v>
      </c>
      <c r="P151" s="6" t="s">
        <v>27</v>
      </c>
      <c r="Q151" s="6">
        <v>3</v>
      </c>
      <c r="R151" s="6" t="s">
        <v>27</v>
      </c>
      <c r="S151" s="6" t="s">
        <v>27</v>
      </c>
    </row>
    <row r="152" spans="1:19" x14ac:dyDescent="0.35">
      <c r="A152" s="7" t="s">
        <v>356</v>
      </c>
      <c r="B152" s="5" t="s">
        <v>357</v>
      </c>
      <c r="C152" s="5" t="s">
        <v>31</v>
      </c>
      <c r="D152" s="5">
        <v>32</v>
      </c>
      <c r="E152" s="5" t="s">
        <v>55</v>
      </c>
      <c r="F152" s="5" t="s">
        <v>64</v>
      </c>
      <c r="G152" s="5" t="s">
        <v>69</v>
      </c>
      <c r="H152" s="5" t="s">
        <v>49</v>
      </c>
      <c r="I152" s="5">
        <v>4</v>
      </c>
      <c r="J152" s="5">
        <v>47040</v>
      </c>
      <c r="K152" s="5" t="s">
        <v>35</v>
      </c>
      <c r="L152" s="5">
        <v>8</v>
      </c>
      <c r="M152" s="5">
        <v>30</v>
      </c>
      <c r="N152" s="5">
        <v>6</v>
      </c>
      <c r="O152" s="5" t="s">
        <v>27</v>
      </c>
      <c r="P152" s="5" t="s">
        <v>28</v>
      </c>
      <c r="Q152" s="5">
        <v>2</v>
      </c>
      <c r="R152" s="5" t="s">
        <v>28</v>
      </c>
      <c r="S152" s="5" t="s">
        <v>27</v>
      </c>
    </row>
    <row r="153" spans="1:19" x14ac:dyDescent="0.35">
      <c r="A153" s="8" t="s">
        <v>358</v>
      </c>
      <c r="B153" s="6" t="s">
        <v>359</v>
      </c>
      <c r="C153" s="6" t="s">
        <v>21</v>
      </c>
      <c r="D153" s="6">
        <v>24</v>
      </c>
      <c r="E153" s="6" t="s">
        <v>38</v>
      </c>
      <c r="F153" s="6" t="s">
        <v>60</v>
      </c>
      <c r="G153" s="6" t="s">
        <v>69</v>
      </c>
      <c r="H153" s="6" t="s">
        <v>49</v>
      </c>
      <c r="I153" s="6">
        <v>1</v>
      </c>
      <c r="J153" s="6">
        <v>50831</v>
      </c>
      <c r="K153" s="6" t="s">
        <v>45</v>
      </c>
      <c r="L153" s="6">
        <v>4</v>
      </c>
      <c r="M153" s="6">
        <v>56</v>
      </c>
      <c r="N153" s="6">
        <v>4</v>
      </c>
      <c r="O153" s="6" t="s">
        <v>27</v>
      </c>
      <c r="P153" s="6" t="s">
        <v>28</v>
      </c>
      <c r="Q153" s="6">
        <v>2</v>
      </c>
      <c r="R153" s="6" t="s">
        <v>27</v>
      </c>
      <c r="S153" s="6" t="s">
        <v>27</v>
      </c>
    </row>
    <row r="154" spans="1:19" x14ac:dyDescent="0.35">
      <c r="A154" s="7" t="s">
        <v>360</v>
      </c>
      <c r="B154" s="5" t="s">
        <v>361</v>
      </c>
      <c r="C154" s="5" t="s">
        <v>21</v>
      </c>
      <c r="D154" s="5">
        <v>41</v>
      </c>
      <c r="E154" s="5" t="s">
        <v>55</v>
      </c>
      <c r="F154" s="5" t="s">
        <v>23</v>
      </c>
      <c r="G154" s="5" t="s">
        <v>24</v>
      </c>
      <c r="H154" s="5" t="s">
        <v>52</v>
      </c>
      <c r="I154" s="5">
        <v>10</v>
      </c>
      <c r="J154" s="5">
        <v>82000</v>
      </c>
      <c r="K154" s="5" t="s">
        <v>45</v>
      </c>
      <c r="L154" s="5">
        <v>1</v>
      </c>
      <c r="M154" s="5">
        <v>14</v>
      </c>
      <c r="N154" s="5">
        <v>1</v>
      </c>
      <c r="O154" s="5" t="s">
        <v>28</v>
      </c>
      <c r="P154" s="5" t="s">
        <v>28</v>
      </c>
      <c r="Q154" s="5">
        <v>5</v>
      </c>
      <c r="R154" s="5" t="s">
        <v>27</v>
      </c>
      <c r="S154" s="5" t="s">
        <v>27</v>
      </c>
    </row>
    <row r="155" spans="1:19" x14ac:dyDescent="0.35">
      <c r="A155" s="8" t="s">
        <v>362</v>
      </c>
      <c r="B155" s="6" t="s">
        <v>363</v>
      </c>
      <c r="C155" s="6" t="s">
        <v>21</v>
      </c>
      <c r="D155" s="6">
        <v>43</v>
      </c>
      <c r="E155" s="6" t="s">
        <v>22</v>
      </c>
      <c r="F155" s="6" t="s">
        <v>39</v>
      </c>
      <c r="G155" s="6" t="s">
        <v>44</v>
      </c>
      <c r="H155" s="6" t="s">
        <v>61</v>
      </c>
      <c r="I155" s="6">
        <v>15</v>
      </c>
      <c r="J155" s="6">
        <v>37918</v>
      </c>
      <c r="K155" s="6" t="s">
        <v>40</v>
      </c>
      <c r="L155" s="6">
        <v>10</v>
      </c>
      <c r="M155" s="6">
        <v>39</v>
      </c>
      <c r="N155" s="6">
        <v>2</v>
      </c>
      <c r="O155" s="6" t="s">
        <v>28</v>
      </c>
      <c r="P155" s="6" t="s">
        <v>27</v>
      </c>
      <c r="Q155" s="6">
        <v>5</v>
      </c>
      <c r="R155" s="6" t="s">
        <v>28</v>
      </c>
      <c r="S155" s="6" t="s">
        <v>27</v>
      </c>
    </row>
    <row r="156" spans="1:19" x14ac:dyDescent="0.35">
      <c r="A156" s="7" t="s">
        <v>364</v>
      </c>
      <c r="B156" s="5" t="s">
        <v>365</v>
      </c>
      <c r="C156" s="5" t="s">
        <v>21</v>
      </c>
      <c r="D156" s="5">
        <v>49</v>
      </c>
      <c r="E156" s="5" t="s">
        <v>22</v>
      </c>
      <c r="F156" s="5" t="s">
        <v>48</v>
      </c>
      <c r="G156" s="5" t="s">
        <v>24</v>
      </c>
      <c r="H156" s="5" t="s">
        <v>25</v>
      </c>
      <c r="I156" s="5">
        <v>21</v>
      </c>
      <c r="J156" s="5">
        <v>48171</v>
      </c>
      <c r="K156" s="5" t="s">
        <v>45</v>
      </c>
      <c r="L156" s="5">
        <v>5</v>
      </c>
      <c r="M156" s="5">
        <v>39</v>
      </c>
      <c r="N156" s="5">
        <v>5</v>
      </c>
      <c r="O156" s="5" t="s">
        <v>28</v>
      </c>
      <c r="P156" s="5" t="s">
        <v>28</v>
      </c>
      <c r="Q156" s="5">
        <v>3</v>
      </c>
      <c r="R156" s="5" t="s">
        <v>27</v>
      </c>
      <c r="S156" s="5" t="s">
        <v>27</v>
      </c>
    </row>
    <row r="157" spans="1:19" x14ac:dyDescent="0.35">
      <c r="A157" s="8" t="s">
        <v>366</v>
      </c>
      <c r="B157" s="6" t="s">
        <v>367</v>
      </c>
      <c r="C157" s="6" t="s">
        <v>31</v>
      </c>
      <c r="D157" s="6">
        <v>53</v>
      </c>
      <c r="E157" s="6" t="s">
        <v>38</v>
      </c>
      <c r="F157" s="6" t="s">
        <v>43</v>
      </c>
      <c r="G157" s="6" t="s">
        <v>24</v>
      </c>
      <c r="H157" s="6" t="s">
        <v>49</v>
      </c>
      <c r="I157" s="6">
        <v>13</v>
      </c>
      <c r="J157" s="6">
        <v>77703</v>
      </c>
      <c r="K157" s="6" t="s">
        <v>45</v>
      </c>
      <c r="L157" s="6">
        <v>5</v>
      </c>
      <c r="M157" s="6">
        <v>20</v>
      </c>
      <c r="N157" s="6">
        <v>3</v>
      </c>
      <c r="O157" s="6" t="s">
        <v>27</v>
      </c>
      <c r="P157" s="6" t="s">
        <v>28</v>
      </c>
      <c r="Q157" s="6">
        <v>5</v>
      </c>
      <c r="R157" s="6" t="s">
        <v>27</v>
      </c>
      <c r="S157" s="6" t="s">
        <v>28</v>
      </c>
    </row>
    <row r="158" spans="1:19" x14ac:dyDescent="0.35">
      <c r="A158" s="7" t="s">
        <v>368</v>
      </c>
      <c r="B158" s="5" t="s">
        <v>369</v>
      </c>
      <c r="C158" s="5" t="s">
        <v>21</v>
      </c>
      <c r="D158" s="5">
        <v>45</v>
      </c>
      <c r="E158" s="5" t="s">
        <v>55</v>
      </c>
      <c r="F158" s="5" t="s">
        <v>64</v>
      </c>
      <c r="G158" s="5" t="s">
        <v>44</v>
      </c>
      <c r="H158" s="5" t="s">
        <v>70</v>
      </c>
      <c r="I158" s="5">
        <v>9</v>
      </c>
      <c r="J158" s="5">
        <v>62242</v>
      </c>
      <c r="K158" s="5" t="s">
        <v>45</v>
      </c>
      <c r="L158" s="5">
        <v>6</v>
      </c>
      <c r="M158" s="5">
        <v>28</v>
      </c>
      <c r="N158" s="5">
        <v>6</v>
      </c>
      <c r="O158" s="5" t="s">
        <v>27</v>
      </c>
      <c r="P158" s="5" t="s">
        <v>28</v>
      </c>
      <c r="Q158" s="5">
        <v>5</v>
      </c>
      <c r="R158" s="5" t="s">
        <v>28</v>
      </c>
      <c r="S158" s="5" t="s">
        <v>27</v>
      </c>
    </row>
    <row r="159" spans="1:19" x14ac:dyDescent="0.35">
      <c r="A159" s="8" t="s">
        <v>370</v>
      </c>
      <c r="B159" s="6" t="s">
        <v>371</v>
      </c>
      <c r="C159" s="6" t="s">
        <v>31</v>
      </c>
      <c r="D159" s="6">
        <v>36</v>
      </c>
      <c r="E159" s="6" t="s">
        <v>55</v>
      </c>
      <c r="F159" s="6" t="s">
        <v>23</v>
      </c>
      <c r="G159" s="6" t="s">
        <v>24</v>
      </c>
      <c r="H159" s="6" t="s">
        <v>34</v>
      </c>
      <c r="I159" s="6">
        <v>7</v>
      </c>
      <c r="J159" s="6">
        <v>62079</v>
      </c>
      <c r="K159" s="6" t="s">
        <v>35</v>
      </c>
      <c r="L159" s="6">
        <v>4</v>
      </c>
      <c r="M159" s="6">
        <v>58</v>
      </c>
      <c r="N159" s="6">
        <v>4</v>
      </c>
      <c r="O159" s="6" t="s">
        <v>27</v>
      </c>
      <c r="P159" s="6" t="s">
        <v>27</v>
      </c>
      <c r="Q159" s="6">
        <v>5</v>
      </c>
      <c r="R159" s="6" t="s">
        <v>28</v>
      </c>
      <c r="S159" s="6" t="s">
        <v>27</v>
      </c>
    </row>
    <row r="160" spans="1:19" x14ac:dyDescent="0.35">
      <c r="A160" s="7" t="s">
        <v>372</v>
      </c>
      <c r="B160" s="5" t="s">
        <v>373</v>
      </c>
      <c r="C160" s="5" t="s">
        <v>31</v>
      </c>
      <c r="D160" s="5">
        <v>24</v>
      </c>
      <c r="E160" s="5" t="s">
        <v>55</v>
      </c>
      <c r="F160" s="5" t="s">
        <v>64</v>
      </c>
      <c r="G160" s="5" t="s">
        <v>24</v>
      </c>
      <c r="H160" s="5" t="s">
        <v>61</v>
      </c>
      <c r="I160" s="5">
        <v>1</v>
      </c>
      <c r="J160" s="5">
        <v>65518</v>
      </c>
      <c r="K160" s="5" t="s">
        <v>45</v>
      </c>
      <c r="L160" s="5">
        <v>3</v>
      </c>
      <c r="M160" s="5">
        <v>30</v>
      </c>
      <c r="N160" s="5">
        <v>3</v>
      </c>
      <c r="O160" s="5" t="s">
        <v>28</v>
      </c>
      <c r="P160" s="5" t="s">
        <v>28</v>
      </c>
      <c r="Q160" s="5">
        <v>4</v>
      </c>
      <c r="R160" s="5" t="s">
        <v>27</v>
      </c>
      <c r="S160" s="5" t="s">
        <v>28</v>
      </c>
    </row>
    <row r="161" spans="1:19" x14ac:dyDescent="0.35">
      <c r="A161" s="8" t="s">
        <v>374</v>
      </c>
      <c r="B161" s="6" t="s">
        <v>375</v>
      </c>
      <c r="C161" s="6" t="s">
        <v>21</v>
      </c>
      <c r="D161" s="6">
        <v>51</v>
      </c>
      <c r="E161" s="6" t="s">
        <v>55</v>
      </c>
      <c r="F161" s="6" t="s">
        <v>48</v>
      </c>
      <c r="G161" s="6" t="s">
        <v>69</v>
      </c>
      <c r="H161" s="6" t="s">
        <v>49</v>
      </c>
      <c r="I161" s="6">
        <v>11</v>
      </c>
      <c r="J161" s="6">
        <v>54818</v>
      </c>
      <c r="K161" s="6" t="s">
        <v>40</v>
      </c>
      <c r="L161" s="6">
        <v>1</v>
      </c>
      <c r="M161" s="6">
        <v>35</v>
      </c>
      <c r="N161" s="6">
        <v>5</v>
      </c>
      <c r="O161" s="6" t="s">
        <v>28</v>
      </c>
      <c r="P161" s="6" t="s">
        <v>28</v>
      </c>
      <c r="Q161" s="6">
        <v>2</v>
      </c>
      <c r="R161" s="6" t="s">
        <v>27</v>
      </c>
      <c r="S161" s="6" t="s">
        <v>27</v>
      </c>
    </row>
    <row r="162" spans="1:19" x14ac:dyDescent="0.35">
      <c r="A162" s="7" t="s">
        <v>376</v>
      </c>
      <c r="B162" s="5" t="s">
        <v>377</v>
      </c>
      <c r="C162" s="5" t="s">
        <v>21</v>
      </c>
      <c r="D162" s="5">
        <v>39</v>
      </c>
      <c r="E162" s="5" t="s">
        <v>32</v>
      </c>
      <c r="F162" s="5" t="s">
        <v>39</v>
      </c>
      <c r="G162" s="5" t="s">
        <v>24</v>
      </c>
      <c r="H162" s="5" t="s">
        <v>70</v>
      </c>
      <c r="I162" s="5">
        <v>9</v>
      </c>
      <c r="J162" s="5">
        <v>53175</v>
      </c>
      <c r="K162" s="5" t="s">
        <v>26</v>
      </c>
      <c r="L162" s="5">
        <v>10</v>
      </c>
      <c r="M162" s="5">
        <v>35</v>
      </c>
      <c r="N162" s="5">
        <v>2</v>
      </c>
      <c r="O162" s="5" t="s">
        <v>27</v>
      </c>
      <c r="P162" s="5" t="s">
        <v>27</v>
      </c>
      <c r="Q162" s="5">
        <v>5</v>
      </c>
      <c r="R162" s="5" t="s">
        <v>27</v>
      </c>
      <c r="S162" s="5" t="s">
        <v>27</v>
      </c>
    </row>
    <row r="163" spans="1:19" x14ac:dyDescent="0.35">
      <c r="A163" s="8" t="s">
        <v>378</v>
      </c>
      <c r="B163" s="6" t="s">
        <v>379</v>
      </c>
      <c r="C163" s="6" t="s">
        <v>31</v>
      </c>
      <c r="D163" s="6">
        <v>30</v>
      </c>
      <c r="E163" s="6" t="s">
        <v>55</v>
      </c>
      <c r="F163" s="6" t="s">
        <v>60</v>
      </c>
      <c r="G163" s="6" t="s">
        <v>24</v>
      </c>
      <c r="H163" s="6" t="s">
        <v>131</v>
      </c>
      <c r="I163" s="6">
        <v>4</v>
      </c>
      <c r="J163" s="6">
        <v>58446</v>
      </c>
      <c r="K163" s="6" t="s">
        <v>26</v>
      </c>
      <c r="L163" s="6">
        <v>1</v>
      </c>
      <c r="M163" s="6">
        <v>26</v>
      </c>
      <c r="N163" s="6">
        <v>4</v>
      </c>
      <c r="O163" s="6" t="s">
        <v>27</v>
      </c>
      <c r="P163" s="6" t="s">
        <v>28</v>
      </c>
      <c r="Q163" s="6">
        <v>3</v>
      </c>
      <c r="R163" s="6" t="s">
        <v>27</v>
      </c>
      <c r="S163" s="6" t="s">
        <v>27</v>
      </c>
    </row>
    <row r="164" spans="1:19" x14ac:dyDescent="0.35">
      <c r="A164" s="7" t="s">
        <v>380</v>
      </c>
      <c r="B164" s="5" t="s">
        <v>381</v>
      </c>
      <c r="C164" s="5" t="s">
        <v>21</v>
      </c>
      <c r="D164" s="5">
        <v>41</v>
      </c>
      <c r="E164" s="5" t="s">
        <v>32</v>
      </c>
      <c r="F164" s="5" t="s">
        <v>60</v>
      </c>
      <c r="G164" s="5" t="s">
        <v>44</v>
      </c>
      <c r="H164" s="5" t="s">
        <v>70</v>
      </c>
      <c r="I164" s="5">
        <v>10</v>
      </c>
      <c r="J164" s="5">
        <v>55469</v>
      </c>
      <c r="K164" s="5" t="s">
        <v>45</v>
      </c>
      <c r="L164" s="5">
        <v>3</v>
      </c>
      <c r="M164" s="5">
        <v>45</v>
      </c>
      <c r="N164" s="5">
        <v>2</v>
      </c>
      <c r="O164" s="5" t="s">
        <v>27</v>
      </c>
      <c r="P164" s="5" t="s">
        <v>28</v>
      </c>
      <c r="Q164" s="5">
        <v>3</v>
      </c>
      <c r="R164" s="5" t="s">
        <v>27</v>
      </c>
      <c r="S164" s="5" t="s">
        <v>27</v>
      </c>
    </row>
    <row r="165" spans="1:19" x14ac:dyDescent="0.35">
      <c r="A165" s="8" t="s">
        <v>382</v>
      </c>
      <c r="B165" s="6" t="s">
        <v>383</v>
      </c>
      <c r="C165" s="6" t="s">
        <v>21</v>
      </c>
      <c r="D165" s="6">
        <v>21</v>
      </c>
      <c r="E165" s="6" t="s">
        <v>38</v>
      </c>
      <c r="F165" s="6" t="s">
        <v>64</v>
      </c>
      <c r="G165" s="6" t="s">
        <v>24</v>
      </c>
      <c r="H165" s="6" t="s">
        <v>131</v>
      </c>
      <c r="I165" s="6">
        <v>0</v>
      </c>
      <c r="J165" s="6">
        <v>61185</v>
      </c>
      <c r="K165" s="6" t="s">
        <v>35</v>
      </c>
      <c r="L165" s="6">
        <v>3</v>
      </c>
      <c r="M165" s="6">
        <v>33</v>
      </c>
      <c r="N165" s="6">
        <v>3</v>
      </c>
      <c r="O165" s="6" t="s">
        <v>28</v>
      </c>
      <c r="P165" s="6" t="s">
        <v>27</v>
      </c>
      <c r="Q165" s="6">
        <v>3</v>
      </c>
      <c r="R165" s="6" t="s">
        <v>27</v>
      </c>
      <c r="S165" s="6" t="s">
        <v>27</v>
      </c>
    </row>
    <row r="166" spans="1:19" x14ac:dyDescent="0.35">
      <c r="A166" s="7" t="s">
        <v>384</v>
      </c>
      <c r="B166" s="5" t="s">
        <v>385</v>
      </c>
      <c r="C166" s="5" t="s">
        <v>31</v>
      </c>
      <c r="D166" s="5">
        <v>44</v>
      </c>
      <c r="E166" s="5" t="s">
        <v>38</v>
      </c>
      <c r="F166" s="5" t="s">
        <v>23</v>
      </c>
      <c r="G166" s="5" t="s">
        <v>24</v>
      </c>
      <c r="H166" s="5" t="s">
        <v>52</v>
      </c>
      <c r="I166" s="5">
        <v>15</v>
      </c>
      <c r="J166" s="5">
        <v>82000</v>
      </c>
      <c r="K166" s="5" t="s">
        <v>26</v>
      </c>
      <c r="L166" s="5">
        <v>8</v>
      </c>
      <c r="M166" s="5">
        <v>32</v>
      </c>
      <c r="N166" s="5">
        <v>6</v>
      </c>
      <c r="O166" s="5" t="s">
        <v>28</v>
      </c>
      <c r="P166" s="5" t="s">
        <v>28</v>
      </c>
      <c r="Q166" s="5">
        <v>2</v>
      </c>
      <c r="R166" s="5" t="s">
        <v>28</v>
      </c>
      <c r="S166" s="5" t="s">
        <v>27</v>
      </c>
    </row>
    <row r="167" spans="1:19" x14ac:dyDescent="0.35">
      <c r="A167" s="8" t="s">
        <v>386</v>
      </c>
      <c r="B167" s="6" t="s">
        <v>387</v>
      </c>
      <c r="C167" s="6" t="s">
        <v>31</v>
      </c>
      <c r="D167" s="6">
        <v>49</v>
      </c>
      <c r="E167" s="6" t="s">
        <v>38</v>
      </c>
      <c r="F167" s="6" t="s">
        <v>43</v>
      </c>
      <c r="G167" s="6" t="s">
        <v>24</v>
      </c>
      <c r="H167" s="6" t="s">
        <v>131</v>
      </c>
      <c r="I167" s="6">
        <v>23</v>
      </c>
      <c r="J167" s="6">
        <v>82000</v>
      </c>
      <c r="K167" s="6" t="s">
        <v>45</v>
      </c>
      <c r="L167" s="6">
        <v>1</v>
      </c>
      <c r="M167" s="6">
        <v>21</v>
      </c>
      <c r="N167" s="6">
        <v>4</v>
      </c>
      <c r="O167" s="6" t="s">
        <v>27</v>
      </c>
      <c r="P167" s="6" t="s">
        <v>27</v>
      </c>
      <c r="Q167" s="6">
        <v>5</v>
      </c>
      <c r="R167" s="6" t="s">
        <v>27</v>
      </c>
      <c r="S167" s="6" t="s">
        <v>28</v>
      </c>
    </row>
    <row r="168" spans="1:19" x14ac:dyDescent="0.35">
      <c r="A168" s="7" t="s">
        <v>388</v>
      </c>
      <c r="B168" s="5" t="s">
        <v>389</v>
      </c>
      <c r="C168" s="5" t="s">
        <v>21</v>
      </c>
      <c r="D168" s="5">
        <v>52</v>
      </c>
      <c r="E168" s="5" t="s">
        <v>55</v>
      </c>
      <c r="F168" s="5" t="s">
        <v>33</v>
      </c>
      <c r="G168" s="5" t="s">
        <v>24</v>
      </c>
      <c r="H168" s="5" t="s">
        <v>52</v>
      </c>
      <c r="I168" s="5">
        <v>18</v>
      </c>
      <c r="J168" s="5">
        <v>67095</v>
      </c>
      <c r="K168" s="5" t="s">
        <v>45</v>
      </c>
      <c r="L168" s="5">
        <v>1</v>
      </c>
      <c r="M168" s="5">
        <v>34</v>
      </c>
      <c r="N168" s="5">
        <v>3</v>
      </c>
      <c r="O168" s="5" t="s">
        <v>27</v>
      </c>
      <c r="P168" s="5" t="s">
        <v>28</v>
      </c>
      <c r="Q168" s="5">
        <v>4</v>
      </c>
      <c r="R168" s="5" t="s">
        <v>28</v>
      </c>
      <c r="S168" s="5" t="s">
        <v>27</v>
      </c>
    </row>
    <row r="169" spans="1:19" x14ac:dyDescent="0.35">
      <c r="A169" s="8" t="s">
        <v>392</v>
      </c>
      <c r="B169" s="6" t="s">
        <v>393</v>
      </c>
      <c r="C169" s="6" t="s">
        <v>31</v>
      </c>
      <c r="D169" s="6">
        <v>30</v>
      </c>
      <c r="E169" s="6" t="s">
        <v>32</v>
      </c>
      <c r="F169" s="6" t="s">
        <v>64</v>
      </c>
      <c r="G169" s="6" t="s">
        <v>24</v>
      </c>
      <c r="H169" s="6" t="s">
        <v>25</v>
      </c>
      <c r="I169" s="6">
        <v>7</v>
      </c>
      <c r="J169" s="6">
        <v>52765</v>
      </c>
      <c r="K169" s="6" t="s">
        <v>35</v>
      </c>
      <c r="L169" s="6">
        <v>9</v>
      </c>
      <c r="M169" s="6">
        <v>33</v>
      </c>
      <c r="N169" s="6">
        <v>4</v>
      </c>
      <c r="O169" s="6" t="s">
        <v>28</v>
      </c>
      <c r="P169" s="6" t="s">
        <v>27</v>
      </c>
      <c r="Q169" s="6">
        <v>2</v>
      </c>
      <c r="R169" s="6" t="s">
        <v>28</v>
      </c>
      <c r="S169" s="6" t="s">
        <v>27</v>
      </c>
    </row>
    <row r="170" spans="1:19" x14ac:dyDescent="0.35">
      <c r="A170" s="7" t="s">
        <v>394</v>
      </c>
      <c r="B170" s="5" t="s">
        <v>395</v>
      </c>
      <c r="C170" s="5" t="s">
        <v>31</v>
      </c>
      <c r="D170" s="5">
        <v>40</v>
      </c>
      <c r="E170" s="5" t="s">
        <v>22</v>
      </c>
      <c r="F170" s="5" t="s">
        <v>60</v>
      </c>
      <c r="G170" s="5" t="s">
        <v>24</v>
      </c>
      <c r="H170" s="5" t="s">
        <v>25</v>
      </c>
      <c r="I170" s="5">
        <v>12</v>
      </c>
      <c r="J170" s="5">
        <v>65555</v>
      </c>
      <c r="K170" s="5" t="s">
        <v>45</v>
      </c>
      <c r="L170" s="5">
        <v>10</v>
      </c>
      <c r="M170" s="5">
        <v>31</v>
      </c>
      <c r="N170" s="5">
        <v>0</v>
      </c>
      <c r="O170" s="5" t="s">
        <v>27</v>
      </c>
      <c r="P170" s="5" t="s">
        <v>28</v>
      </c>
      <c r="Q170" s="5">
        <v>2</v>
      </c>
      <c r="R170" s="5" t="s">
        <v>27</v>
      </c>
      <c r="S170" s="5" t="s">
        <v>27</v>
      </c>
    </row>
    <row r="171" spans="1:19" x14ac:dyDescent="0.35">
      <c r="A171" s="8" t="s">
        <v>396</v>
      </c>
      <c r="B171" s="6" t="s">
        <v>397</v>
      </c>
      <c r="C171" s="6" t="s">
        <v>21</v>
      </c>
      <c r="D171" s="6">
        <v>36</v>
      </c>
      <c r="E171" s="6" t="s">
        <v>55</v>
      </c>
      <c r="F171" s="6" t="s">
        <v>48</v>
      </c>
      <c r="G171" s="6" t="s">
        <v>24</v>
      </c>
      <c r="H171" s="6" t="s">
        <v>61</v>
      </c>
      <c r="I171" s="6">
        <v>10</v>
      </c>
      <c r="J171" s="6">
        <v>48875</v>
      </c>
      <c r="K171" s="6" t="s">
        <v>45</v>
      </c>
      <c r="L171" s="6">
        <v>8</v>
      </c>
      <c r="M171" s="6">
        <v>28</v>
      </c>
      <c r="N171" s="6">
        <v>0</v>
      </c>
      <c r="O171" s="6" t="s">
        <v>28</v>
      </c>
      <c r="P171" s="6" t="s">
        <v>27</v>
      </c>
      <c r="Q171" s="6">
        <v>2</v>
      </c>
      <c r="R171" s="6" t="s">
        <v>27</v>
      </c>
      <c r="S171" s="6" t="s">
        <v>27</v>
      </c>
    </row>
    <row r="172" spans="1:19" x14ac:dyDescent="0.35">
      <c r="A172" s="7" t="s">
        <v>398</v>
      </c>
      <c r="B172" s="5" t="s">
        <v>399</v>
      </c>
      <c r="C172" s="5" t="s">
        <v>21</v>
      </c>
      <c r="D172" s="5">
        <v>41</v>
      </c>
      <c r="E172" s="5" t="s">
        <v>38</v>
      </c>
      <c r="F172" s="5" t="s">
        <v>48</v>
      </c>
      <c r="G172" s="5" t="s">
        <v>24</v>
      </c>
      <c r="H172" s="5" t="s">
        <v>25</v>
      </c>
      <c r="I172" s="5">
        <v>17</v>
      </c>
      <c r="J172" s="5">
        <v>51990</v>
      </c>
      <c r="K172" s="5" t="s">
        <v>45</v>
      </c>
      <c r="L172" s="5">
        <v>6</v>
      </c>
      <c r="M172" s="5">
        <v>28</v>
      </c>
      <c r="N172" s="5">
        <v>5</v>
      </c>
      <c r="O172" s="5" t="s">
        <v>27</v>
      </c>
      <c r="P172" s="5" t="s">
        <v>28</v>
      </c>
      <c r="Q172" s="5">
        <v>2</v>
      </c>
      <c r="R172" s="5" t="s">
        <v>27</v>
      </c>
      <c r="S172" s="5" t="s">
        <v>27</v>
      </c>
    </row>
    <row r="173" spans="1:19" x14ac:dyDescent="0.35">
      <c r="A173" s="8" t="s">
        <v>400</v>
      </c>
      <c r="B173" s="6" t="s">
        <v>401</v>
      </c>
      <c r="C173" s="6" t="s">
        <v>31</v>
      </c>
      <c r="D173" s="6">
        <v>40</v>
      </c>
      <c r="E173" s="6" t="s">
        <v>38</v>
      </c>
      <c r="F173" s="6" t="s">
        <v>64</v>
      </c>
      <c r="G173" s="6" t="s">
        <v>24</v>
      </c>
      <c r="H173" s="6" t="s">
        <v>25</v>
      </c>
      <c r="I173" s="6">
        <v>15</v>
      </c>
      <c r="J173" s="6">
        <v>59858</v>
      </c>
      <c r="K173" s="6" t="s">
        <v>45</v>
      </c>
      <c r="L173" s="6">
        <v>1</v>
      </c>
      <c r="M173" s="6">
        <v>30</v>
      </c>
      <c r="N173" s="6">
        <v>4</v>
      </c>
      <c r="O173" s="6" t="s">
        <v>28</v>
      </c>
      <c r="P173" s="6" t="s">
        <v>27</v>
      </c>
      <c r="Q173" s="6">
        <v>4</v>
      </c>
      <c r="R173" s="6" t="s">
        <v>28</v>
      </c>
      <c r="S173" s="6" t="s">
        <v>27</v>
      </c>
    </row>
    <row r="174" spans="1:19" x14ac:dyDescent="0.35">
      <c r="A174" s="7" t="s">
        <v>402</v>
      </c>
      <c r="B174" s="5" t="s">
        <v>403</v>
      </c>
      <c r="C174" s="5" t="s">
        <v>21</v>
      </c>
      <c r="D174" s="5">
        <v>38</v>
      </c>
      <c r="E174" s="5" t="s">
        <v>55</v>
      </c>
      <c r="F174" s="5" t="s">
        <v>43</v>
      </c>
      <c r="G174" s="5" t="s">
        <v>24</v>
      </c>
      <c r="H174" s="5" t="s">
        <v>61</v>
      </c>
      <c r="I174" s="5">
        <v>10</v>
      </c>
      <c r="J174" s="5">
        <v>61146</v>
      </c>
      <c r="K174" s="5" t="s">
        <v>26</v>
      </c>
      <c r="L174" s="5">
        <v>8</v>
      </c>
      <c r="M174" s="5">
        <v>41</v>
      </c>
      <c r="N174" s="5">
        <v>4</v>
      </c>
      <c r="O174" s="5" t="s">
        <v>28</v>
      </c>
      <c r="P174" s="5" t="s">
        <v>28</v>
      </c>
      <c r="Q174" s="5">
        <v>2</v>
      </c>
      <c r="R174" s="5" t="s">
        <v>27</v>
      </c>
      <c r="S174" s="5" t="s">
        <v>27</v>
      </c>
    </row>
    <row r="175" spans="1:19" x14ac:dyDescent="0.35">
      <c r="A175" s="8" t="s">
        <v>404</v>
      </c>
      <c r="B175" s="6" t="s">
        <v>405</v>
      </c>
      <c r="C175" s="6" t="s">
        <v>21</v>
      </c>
      <c r="D175" s="6">
        <v>47</v>
      </c>
      <c r="E175" s="6" t="s">
        <v>55</v>
      </c>
      <c r="F175" s="6" t="s">
        <v>33</v>
      </c>
      <c r="G175" s="6" t="s">
        <v>24</v>
      </c>
      <c r="H175" s="6" t="s">
        <v>131</v>
      </c>
      <c r="I175" s="6">
        <v>18</v>
      </c>
      <c r="J175" s="6">
        <v>59329</v>
      </c>
      <c r="K175" s="6" t="s">
        <v>26</v>
      </c>
      <c r="L175" s="6">
        <v>7</v>
      </c>
      <c r="M175" s="6">
        <v>5</v>
      </c>
      <c r="N175" s="6">
        <v>3</v>
      </c>
      <c r="O175" s="6" t="s">
        <v>28</v>
      </c>
      <c r="P175" s="6" t="s">
        <v>28</v>
      </c>
      <c r="Q175" s="6">
        <v>2</v>
      </c>
      <c r="R175" s="6" t="s">
        <v>27</v>
      </c>
      <c r="S175" s="6" t="s">
        <v>27</v>
      </c>
    </row>
    <row r="176" spans="1:19" x14ac:dyDescent="0.35">
      <c r="A176" s="7" t="s">
        <v>406</v>
      </c>
      <c r="B176" s="5" t="s">
        <v>407</v>
      </c>
      <c r="C176" s="5" t="s">
        <v>31</v>
      </c>
      <c r="D176" s="5">
        <v>21</v>
      </c>
      <c r="E176" s="5" t="s">
        <v>38</v>
      </c>
      <c r="F176" s="5" t="s">
        <v>33</v>
      </c>
      <c r="G176" s="5" t="s">
        <v>69</v>
      </c>
      <c r="H176" s="5" t="s">
        <v>49</v>
      </c>
      <c r="I176" s="5">
        <v>0</v>
      </c>
      <c r="J176" s="5">
        <v>57532</v>
      </c>
      <c r="K176" s="5" t="s">
        <v>45</v>
      </c>
      <c r="L176" s="5">
        <v>10</v>
      </c>
      <c r="M176" s="5">
        <v>32</v>
      </c>
      <c r="N176" s="5">
        <v>7</v>
      </c>
      <c r="O176" s="5" t="s">
        <v>27</v>
      </c>
      <c r="P176" s="5" t="s">
        <v>28</v>
      </c>
      <c r="Q176" s="5">
        <v>5</v>
      </c>
      <c r="R176" s="5" t="s">
        <v>27</v>
      </c>
      <c r="S176" s="5" t="s">
        <v>27</v>
      </c>
    </row>
    <row r="177" spans="1:19" x14ac:dyDescent="0.35">
      <c r="A177" s="8" t="s">
        <v>408</v>
      </c>
      <c r="B177" s="6" t="s">
        <v>409</v>
      </c>
      <c r="C177" s="6" t="s">
        <v>21</v>
      </c>
      <c r="D177" s="6">
        <v>38</v>
      </c>
      <c r="E177" s="6" t="s">
        <v>55</v>
      </c>
      <c r="F177" s="6" t="s">
        <v>43</v>
      </c>
      <c r="G177" s="6" t="s">
        <v>24</v>
      </c>
      <c r="H177" s="6" t="s">
        <v>52</v>
      </c>
      <c r="I177" s="6">
        <v>9</v>
      </c>
      <c r="J177" s="6">
        <v>68801</v>
      </c>
      <c r="K177" s="6" t="s">
        <v>26</v>
      </c>
      <c r="L177" s="6">
        <v>2</v>
      </c>
      <c r="M177" s="6">
        <v>22</v>
      </c>
      <c r="N177" s="6">
        <v>5</v>
      </c>
      <c r="O177" s="6" t="s">
        <v>28</v>
      </c>
      <c r="P177" s="6" t="s">
        <v>28</v>
      </c>
      <c r="Q177" s="6">
        <v>1</v>
      </c>
      <c r="R177" s="6" t="s">
        <v>27</v>
      </c>
      <c r="S177" s="6" t="s">
        <v>28</v>
      </c>
    </row>
    <row r="178" spans="1:19" x14ac:dyDescent="0.35">
      <c r="A178" s="7" t="s">
        <v>410</v>
      </c>
      <c r="B178" s="5" t="s">
        <v>411</v>
      </c>
      <c r="C178" s="5" t="s">
        <v>31</v>
      </c>
      <c r="D178" s="5">
        <v>45</v>
      </c>
      <c r="E178" s="5" t="s">
        <v>55</v>
      </c>
      <c r="F178" s="5" t="s">
        <v>23</v>
      </c>
      <c r="G178" s="5" t="s">
        <v>69</v>
      </c>
      <c r="H178" s="5" t="s">
        <v>61</v>
      </c>
      <c r="I178" s="5">
        <v>11</v>
      </c>
      <c r="J178" s="5">
        <v>60106</v>
      </c>
      <c r="K178" s="5" t="s">
        <v>35</v>
      </c>
      <c r="L178" s="5">
        <v>4</v>
      </c>
      <c r="M178" s="5">
        <v>24</v>
      </c>
      <c r="N178" s="5">
        <v>6</v>
      </c>
      <c r="O178" s="5" t="s">
        <v>27</v>
      </c>
      <c r="P178" s="5" t="s">
        <v>27</v>
      </c>
      <c r="Q178" s="5">
        <v>4</v>
      </c>
      <c r="R178" s="5" t="s">
        <v>28</v>
      </c>
      <c r="S178" s="5" t="s">
        <v>27</v>
      </c>
    </row>
    <row r="179" spans="1:19" x14ac:dyDescent="0.35">
      <c r="A179" s="8" t="s">
        <v>412</v>
      </c>
      <c r="B179" s="6" t="s">
        <v>413</v>
      </c>
      <c r="C179" s="6" t="s">
        <v>21</v>
      </c>
      <c r="D179" s="6">
        <v>22</v>
      </c>
      <c r="E179" s="6" t="s">
        <v>38</v>
      </c>
      <c r="F179" s="6" t="s">
        <v>48</v>
      </c>
      <c r="G179" s="6" t="s">
        <v>44</v>
      </c>
      <c r="H179" s="6" t="s">
        <v>49</v>
      </c>
      <c r="I179" s="6">
        <v>1</v>
      </c>
      <c r="J179" s="6">
        <v>50666</v>
      </c>
      <c r="K179" s="6" t="s">
        <v>35</v>
      </c>
      <c r="L179" s="6">
        <v>9</v>
      </c>
      <c r="M179" s="6">
        <v>32</v>
      </c>
      <c r="N179" s="6">
        <v>3</v>
      </c>
      <c r="O179" s="6" t="s">
        <v>27</v>
      </c>
      <c r="P179" s="6" t="s">
        <v>27</v>
      </c>
      <c r="Q179" s="6">
        <v>2</v>
      </c>
      <c r="R179" s="6" t="s">
        <v>27</v>
      </c>
      <c r="S179" s="6" t="s">
        <v>27</v>
      </c>
    </row>
    <row r="180" spans="1:19" x14ac:dyDescent="0.35">
      <c r="A180" s="7" t="s">
        <v>414</v>
      </c>
      <c r="B180" s="5" t="s">
        <v>415</v>
      </c>
      <c r="C180" s="5" t="s">
        <v>21</v>
      </c>
      <c r="D180" s="5">
        <v>21</v>
      </c>
      <c r="E180" s="5" t="s">
        <v>22</v>
      </c>
      <c r="F180" s="5" t="s">
        <v>33</v>
      </c>
      <c r="G180" s="5" t="s">
        <v>24</v>
      </c>
      <c r="H180" s="5" t="s">
        <v>61</v>
      </c>
      <c r="I180" s="5">
        <v>0</v>
      </c>
      <c r="J180" s="5">
        <v>37388</v>
      </c>
      <c r="K180" s="5" t="s">
        <v>45</v>
      </c>
      <c r="L180" s="5">
        <v>4</v>
      </c>
      <c r="M180" s="5">
        <v>34</v>
      </c>
      <c r="N180" s="5">
        <v>2</v>
      </c>
      <c r="O180" s="5" t="s">
        <v>27</v>
      </c>
      <c r="P180" s="5" t="s">
        <v>28</v>
      </c>
      <c r="Q180" s="5">
        <v>5</v>
      </c>
      <c r="R180" s="5" t="s">
        <v>27</v>
      </c>
      <c r="S180" s="5" t="s">
        <v>27</v>
      </c>
    </row>
    <row r="181" spans="1:19" x14ac:dyDescent="0.35">
      <c r="A181" s="8" t="s">
        <v>416</v>
      </c>
      <c r="B181" s="6" t="s">
        <v>417</v>
      </c>
      <c r="C181" s="6" t="s">
        <v>21</v>
      </c>
      <c r="D181" s="6">
        <v>38</v>
      </c>
      <c r="E181" s="6" t="s">
        <v>55</v>
      </c>
      <c r="F181" s="6" t="s">
        <v>48</v>
      </c>
      <c r="G181" s="6" t="s">
        <v>24</v>
      </c>
      <c r="H181" s="6" t="s">
        <v>52</v>
      </c>
      <c r="I181" s="6">
        <v>9</v>
      </c>
      <c r="J181" s="6">
        <v>43264</v>
      </c>
      <c r="K181" s="6" t="s">
        <v>45</v>
      </c>
      <c r="L181" s="6">
        <v>6</v>
      </c>
      <c r="M181" s="6">
        <v>5</v>
      </c>
      <c r="N181" s="6">
        <v>6</v>
      </c>
      <c r="O181" s="6" t="s">
        <v>28</v>
      </c>
      <c r="P181" s="6" t="s">
        <v>28</v>
      </c>
      <c r="Q181" s="6">
        <v>4</v>
      </c>
      <c r="R181" s="6" t="s">
        <v>28</v>
      </c>
      <c r="S181" s="6" t="s">
        <v>27</v>
      </c>
    </row>
    <row r="182" spans="1:19" x14ac:dyDescent="0.35">
      <c r="A182" s="7" t="s">
        <v>418</v>
      </c>
      <c r="B182" s="5" t="s">
        <v>419</v>
      </c>
      <c r="C182" s="5" t="s">
        <v>31</v>
      </c>
      <c r="D182" s="5">
        <v>43</v>
      </c>
      <c r="E182" s="5" t="s">
        <v>55</v>
      </c>
      <c r="F182" s="5" t="s">
        <v>23</v>
      </c>
      <c r="G182" s="5" t="s">
        <v>24</v>
      </c>
      <c r="H182" s="5" t="s">
        <v>52</v>
      </c>
      <c r="I182" s="5">
        <v>17</v>
      </c>
      <c r="J182" s="5">
        <v>81241</v>
      </c>
      <c r="K182" s="5" t="s">
        <v>35</v>
      </c>
      <c r="L182" s="5">
        <v>6</v>
      </c>
      <c r="M182" s="5">
        <v>19</v>
      </c>
      <c r="N182" s="5">
        <v>5</v>
      </c>
      <c r="O182" s="5" t="s">
        <v>28</v>
      </c>
      <c r="P182" s="5" t="s">
        <v>27</v>
      </c>
      <c r="Q182" s="5">
        <v>1</v>
      </c>
      <c r="R182" s="5" t="s">
        <v>27</v>
      </c>
      <c r="S182" s="5" t="s">
        <v>27</v>
      </c>
    </row>
    <row r="183" spans="1:19" x14ac:dyDescent="0.35">
      <c r="A183" s="8" t="s">
        <v>420</v>
      </c>
      <c r="B183" s="6" t="s">
        <v>421</v>
      </c>
      <c r="C183" s="6" t="s">
        <v>21</v>
      </c>
      <c r="D183" s="6">
        <v>28</v>
      </c>
      <c r="E183" s="6" t="s">
        <v>38</v>
      </c>
      <c r="F183" s="6" t="s">
        <v>23</v>
      </c>
      <c r="G183" s="6" t="s">
        <v>24</v>
      </c>
      <c r="H183" s="6" t="s">
        <v>52</v>
      </c>
      <c r="I183" s="6">
        <v>5</v>
      </c>
      <c r="J183" s="6">
        <v>82000</v>
      </c>
      <c r="K183" s="6" t="s">
        <v>45</v>
      </c>
      <c r="L183" s="6">
        <v>8</v>
      </c>
      <c r="M183" s="6">
        <v>9</v>
      </c>
      <c r="N183" s="6">
        <v>5</v>
      </c>
      <c r="O183" s="6" t="s">
        <v>28</v>
      </c>
      <c r="P183" s="6" t="s">
        <v>28</v>
      </c>
      <c r="Q183" s="6">
        <v>2</v>
      </c>
      <c r="R183" s="6" t="s">
        <v>27</v>
      </c>
      <c r="S183" s="6" t="s">
        <v>28</v>
      </c>
    </row>
    <row r="184" spans="1:19" x14ac:dyDescent="0.35">
      <c r="A184" s="7" t="s">
        <v>422</v>
      </c>
      <c r="B184" s="5" t="s">
        <v>423</v>
      </c>
      <c r="C184" s="5" t="s">
        <v>31</v>
      </c>
      <c r="D184" s="5">
        <v>33</v>
      </c>
      <c r="E184" s="5" t="s">
        <v>22</v>
      </c>
      <c r="F184" s="5" t="s">
        <v>64</v>
      </c>
      <c r="G184" s="5" t="s">
        <v>24</v>
      </c>
      <c r="H184" s="5" t="s">
        <v>52</v>
      </c>
      <c r="I184" s="5">
        <v>9</v>
      </c>
      <c r="J184" s="5">
        <v>56126</v>
      </c>
      <c r="K184" s="5" t="s">
        <v>35</v>
      </c>
      <c r="L184" s="5">
        <v>6</v>
      </c>
      <c r="M184" s="5">
        <v>20</v>
      </c>
      <c r="N184" s="5">
        <v>3</v>
      </c>
      <c r="O184" s="5" t="s">
        <v>27</v>
      </c>
      <c r="P184" s="5" t="s">
        <v>27</v>
      </c>
      <c r="Q184" s="5">
        <v>3</v>
      </c>
      <c r="R184" s="5" t="s">
        <v>28</v>
      </c>
      <c r="S184" s="5" t="s">
        <v>27</v>
      </c>
    </row>
    <row r="185" spans="1:19" x14ac:dyDescent="0.35">
      <c r="A185" s="8" t="s">
        <v>424</v>
      </c>
      <c r="B185" s="6" t="s">
        <v>425</v>
      </c>
      <c r="C185" s="6" t="s">
        <v>31</v>
      </c>
      <c r="D185" s="6">
        <v>22</v>
      </c>
      <c r="E185" s="6" t="s">
        <v>55</v>
      </c>
      <c r="F185" s="6" t="s">
        <v>43</v>
      </c>
      <c r="G185" s="6" t="s">
        <v>24</v>
      </c>
      <c r="H185" s="6" t="s">
        <v>52</v>
      </c>
      <c r="I185" s="6">
        <v>1</v>
      </c>
      <c r="J185" s="6">
        <v>66751</v>
      </c>
      <c r="K185" s="6" t="s">
        <v>45</v>
      </c>
      <c r="L185" s="6">
        <v>7</v>
      </c>
      <c r="M185" s="6">
        <v>29</v>
      </c>
      <c r="N185" s="6">
        <v>4</v>
      </c>
      <c r="O185" s="6" t="s">
        <v>28</v>
      </c>
      <c r="P185" s="6" t="s">
        <v>28</v>
      </c>
      <c r="Q185" s="6">
        <v>2</v>
      </c>
      <c r="R185" s="6" t="s">
        <v>27</v>
      </c>
      <c r="S185" s="6" t="s">
        <v>27</v>
      </c>
    </row>
    <row r="186" spans="1:19" x14ac:dyDescent="0.35">
      <c r="A186" s="7" t="s">
        <v>426</v>
      </c>
      <c r="B186" s="5" t="s">
        <v>427</v>
      </c>
      <c r="C186" s="5" t="s">
        <v>31</v>
      </c>
      <c r="D186" s="5">
        <v>49</v>
      </c>
      <c r="E186" s="5" t="s">
        <v>55</v>
      </c>
      <c r="F186" s="5" t="s">
        <v>39</v>
      </c>
      <c r="G186" s="5" t="s">
        <v>24</v>
      </c>
      <c r="H186" s="5" t="s">
        <v>25</v>
      </c>
      <c r="I186" s="5">
        <v>10</v>
      </c>
      <c r="J186" s="5">
        <v>57869</v>
      </c>
      <c r="K186" s="5" t="s">
        <v>45</v>
      </c>
      <c r="L186" s="5">
        <v>1</v>
      </c>
      <c r="M186" s="5">
        <v>33</v>
      </c>
      <c r="N186" s="5">
        <v>3</v>
      </c>
      <c r="O186" s="5" t="s">
        <v>28</v>
      </c>
      <c r="P186" s="5" t="s">
        <v>28</v>
      </c>
      <c r="Q186" s="5">
        <v>2</v>
      </c>
      <c r="R186" s="5" t="s">
        <v>28</v>
      </c>
      <c r="S186" s="5" t="s">
        <v>28</v>
      </c>
    </row>
    <row r="187" spans="1:19" x14ac:dyDescent="0.35">
      <c r="A187" s="8" t="s">
        <v>428</v>
      </c>
      <c r="B187" s="6" t="s">
        <v>429</v>
      </c>
      <c r="C187" s="6" t="s">
        <v>31</v>
      </c>
      <c r="D187" s="6">
        <v>45</v>
      </c>
      <c r="E187" s="6" t="s">
        <v>55</v>
      </c>
      <c r="F187" s="6" t="s">
        <v>39</v>
      </c>
      <c r="G187" s="6" t="s">
        <v>24</v>
      </c>
      <c r="H187" s="6" t="s">
        <v>131</v>
      </c>
      <c r="I187" s="6">
        <v>10</v>
      </c>
      <c r="J187" s="6">
        <v>55289</v>
      </c>
      <c r="K187" s="6" t="s">
        <v>26</v>
      </c>
      <c r="L187" s="6">
        <v>6</v>
      </c>
      <c r="M187" s="6">
        <v>44</v>
      </c>
      <c r="N187" s="6">
        <v>3</v>
      </c>
      <c r="O187" s="6" t="s">
        <v>27</v>
      </c>
      <c r="P187" s="6" t="s">
        <v>27</v>
      </c>
      <c r="Q187" s="6">
        <v>4</v>
      </c>
      <c r="R187" s="6" t="s">
        <v>27</v>
      </c>
      <c r="S187" s="6" t="s">
        <v>27</v>
      </c>
    </row>
    <row r="188" spans="1:19" x14ac:dyDescent="0.35">
      <c r="A188" s="7" t="s">
        <v>430</v>
      </c>
      <c r="B188" s="5" t="s">
        <v>431</v>
      </c>
      <c r="C188" s="5" t="s">
        <v>31</v>
      </c>
      <c r="D188" s="5">
        <v>32</v>
      </c>
      <c r="E188" s="5" t="s">
        <v>55</v>
      </c>
      <c r="F188" s="5" t="s">
        <v>39</v>
      </c>
      <c r="G188" s="5" t="s">
        <v>24</v>
      </c>
      <c r="H188" s="5" t="s">
        <v>70</v>
      </c>
      <c r="I188" s="5">
        <v>6</v>
      </c>
      <c r="J188" s="5">
        <v>58694</v>
      </c>
      <c r="K188" s="5" t="s">
        <v>26</v>
      </c>
      <c r="L188" s="5">
        <v>2</v>
      </c>
      <c r="M188" s="5">
        <v>8</v>
      </c>
      <c r="N188" s="5">
        <v>8</v>
      </c>
      <c r="O188" s="5" t="s">
        <v>27</v>
      </c>
      <c r="P188" s="5" t="s">
        <v>27</v>
      </c>
      <c r="Q188" s="5">
        <v>4</v>
      </c>
      <c r="R188" s="5" t="s">
        <v>27</v>
      </c>
      <c r="S188" s="5" t="s">
        <v>27</v>
      </c>
    </row>
    <row r="189" spans="1:19" x14ac:dyDescent="0.35">
      <c r="A189" s="8" t="s">
        <v>432</v>
      </c>
      <c r="B189" s="6" t="s">
        <v>433</v>
      </c>
      <c r="C189" s="6" t="s">
        <v>21</v>
      </c>
      <c r="D189" s="6">
        <v>27</v>
      </c>
      <c r="E189" s="6" t="s">
        <v>32</v>
      </c>
      <c r="F189" s="6" t="s">
        <v>64</v>
      </c>
      <c r="G189" s="6" t="s">
        <v>24</v>
      </c>
      <c r="H189" s="6" t="s">
        <v>34</v>
      </c>
      <c r="I189" s="6">
        <v>3</v>
      </c>
      <c r="J189" s="6">
        <v>61925</v>
      </c>
      <c r="K189" s="6" t="s">
        <v>26</v>
      </c>
      <c r="L189" s="6">
        <v>3</v>
      </c>
      <c r="M189" s="6">
        <v>56</v>
      </c>
      <c r="N189" s="6">
        <v>5</v>
      </c>
      <c r="O189" s="6" t="s">
        <v>27</v>
      </c>
      <c r="P189" s="6" t="s">
        <v>28</v>
      </c>
      <c r="Q189" s="6">
        <v>1</v>
      </c>
      <c r="R189" s="6" t="s">
        <v>27</v>
      </c>
      <c r="S189" s="6" t="s">
        <v>28</v>
      </c>
    </row>
    <row r="190" spans="1:19" x14ac:dyDescent="0.35">
      <c r="A190" s="7" t="s">
        <v>434</v>
      </c>
      <c r="B190" s="5" t="s">
        <v>435</v>
      </c>
      <c r="C190" s="5" t="s">
        <v>21</v>
      </c>
      <c r="D190" s="5">
        <v>51</v>
      </c>
      <c r="E190" s="5" t="s">
        <v>55</v>
      </c>
      <c r="F190" s="5" t="s">
        <v>43</v>
      </c>
      <c r="G190" s="5" t="s">
        <v>44</v>
      </c>
      <c r="H190" s="5" t="s">
        <v>52</v>
      </c>
      <c r="I190" s="5">
        <v>12</v>
      </c>
      <c r="J190" s="5">
        <v>63067</v>
      </c>
      <c r="K190" s="5" t="s">
        <v>45</v>
      </c>
      <c r="L190" s="5">
        <v>5</v>
      </c>
      <c r="M190" s="5">
        <v>34</v>
      </c>
      <c r="N190" s="5">
        <v>1</v>
      </c>
      <c r="O190" s="5" t="s">
        <v>27</v>
      </c>
      <c r="P190" s="5" t="s">
        <v>27</v>
      </c>
      <c r="Q190" s="5">
        <v>2</v>
      </c>
      <c r="R190" s="5" t="s">
        <v>27</v>
      </c>
      <c r="S190" s="5" t="s">
        <v>27</v>
      </c>
    </row>
    <row r="191" spans="1:19" x14ac:dyDescent="0.35">
      <c r="A191" s="8" t="s">
        <v>436</v>
      </c>
      <c r="B191" s="6" t="s">
        <v>437</v>
      </c>
      <c r="C191" s="6" t="s">
        <v>31</v>
      </c>
      <c r="D191" s="6">
        <v>30</v>
      </c>
      <c r="E191" s="6" t="s">
        <v>55</v>
      </c>
      <c r="F191" s="6" t="s">
        <v>43</v>
      </c>
      <c r="G191" s="6" t="s">
        <v>24</v>
      </c>
      <c r="H191" s="6" t="s">
        <v>34</v>
      </c>
      <c r="I191" s="6">
        <v>5</v>
      </c>
      <c r="J191" s="6">
        <v>63342</v>
      </c>
      <c r="K191" s="6" t="s">
        <v>45</v>
      </c>
      <c r="L191" s="6">
        <v>6</v>
      </c>
      <c r="M191" s="6">
        <v>13</v>
      </c>
      <c r="N191" s="6">
        <v>6</v>
      </c>
      <c r="O191" s="6" t="s">
        <v>27</v>
      </c>
      <c r="P191" s="6" t="s">
        <v>27</v>
      </c>
      <c r="Q191" s="6">
        <v>3</v>
      </c>
      <c r="R191" s="6" t="s">
        <v>27</v>
      </c>
      <c r="S191" s="6" t="s">
        <v>27</v>
      </c>
    </row>
    <row r="192" spans="1:19" x14ac:dyDescent="0.35">
      <c r="A192" s="7" t="s">
        <v>438</v>
      </c>
      <c r="B192" s="5" t="s">
        <v>439</v>
      </c>
      <c r="C192" s="5" t="s">
        <v>31</v>
      </c>
      <c r="D192" s="5">
        <v>52</v>
      </c>
      <c r="E192" s="5" t="s">
        <v>55</v>
      </c>
      <c r="F192" s="5" t="s">
        <v>23</v>
      </c>
      <c r="G192" s="5" t="s">
        <v>69</v>
      </c>
      <c r="H192" s="5" t="s">
        <v>61</v>
      </c>
      <c r="I192" s="5">
        <v>16</v>
      </c>
      <c r="J192" s="5">
        <v>82000</v>
      </c>
      <c r="K192" s="5" t="s">
        <v>26</v>
      </c>
      <c r="L192" s="5">
        <v>7</v>
      </c>
      <c r="M192" s="5">
        <v>35</v>
      </c>
      <c r="N192" s="5">
        <v>3</v>
      </c>
      <c r="O192" s="5" t="s">
        <v>28</v>
      </c>
      <c r="P192" s="5" t="s">
        <v>27</v>
      </c>
      <c r="Q192" s="5">
        <v>1</v>
      </c>
      <c r="R192" s="5" t="s">
        <v>27</v>
      </c>
      <c r="S192" s="5" t="s">
        <v>27</v>
      </c>
    </row>
    <row r="193" spans="1:19" x14ac:dyDescent="0.35">
      <c r="A193" s="8" t="s">
        <v>440</v>
      </c>
      <c r="B193" s="6" t="s">
        <v>441</v>
      </c>
      <c r="C193" s="6" t="s">
        <v>31</v>
      </c>
      <c r="D193" s="6">
        <v>51</v>
      </c>
      <c r="E193" s="6" t="s">
        <v>55</v>
      </c>
      <c r="F193" s="6" t="s">
        <v>33</v>
      </c>
      <c r="G193" s="6" t="s">
        <v>24</v>
      </c>
      <c r="H193" s="6" t="s">
        <v>25</v>
      </c>
      <c r="I193" s="6">
        <v>23</v>
      </c>
      <c r="J193" s="6">
        <v>75184</v>
      </c>
      <c r="K193" s="6" t="s">
        <v>45</v>
      </c>
      <c r="L193" s="6">
        <v>6</v>
      </c>
      <c r="M193" s="6">
        <v>0</v>
      </c>
      <c r="N193" s="6">
        <v>5</v>
      </c>
      <c r="O193" s="6" t="s">
        <v>27</v>
      </c>
      <c r="P193" s="6" t="s">
        <v>28</v>
      </c>
      <c r="Q193" s="6">
        <v>1</v>
      </c>
      <c r="R193" s="6" t="s">
        <v>27</v>
      </c>
      <c r="S193" s="6" t="s">
        <v>27</v>
      </c>
    </row>
    <row r="194" spans="1:19" x14ac:dyDescent="0.35">
      <c r="A194" s="7" t="s">
        <v>442</v>
      </c>
      <c r="B194" s="5" t="s">
        <v>443</v>
      </c>
      <c r="C194" s="5" t="s">
        <v>21</v>
      </c>
      <c r="D194" s="5">
        <v>36</v>
      </c>
      <c r="E194" s="5" t="s">
        <v>38</v>
      </c>
      <c r="F194" s="5" t="s">
        <v>23</v>
      </c>
      <c r="G194" s="5" t="s">
        <v>24</v>
      </c>
      <c r="H194" s="5" t="s">
        <v>61</v>
      </c>
      <c r="I194" s="5">
        <v>9</v>
      </c>
      <c r="J194" s="5">
        <v>82000</v>
      </c>
      <c r="K194" s="5" t="s">
        <v>45</v>
      </c>
      <c r="L194" s="5">
        <v>7</v>
      </c>
      <c r="M194" s="5">
        <v>0</v>
      </c>
      <c r="N194" s="5">
        <v>2</v>
      </c>
      <c r="O194" s="5" t="s">
        <v>28</v>
      </c>
      <c r="P194" s="5" t="s">
        <v>28</v>
      </c>
      <c r="Q194" s="5">
        <v>2</v>
      </c>
      <c r="R194" s="5" t="s">
        <v>27</v>
      </c>
      <c r="S194" s="5" t="s">
        <v>27</v>
      </c>
    </row>
    <row r="195" spans="1:19" x14ac:dyDescent="0.35">
      <c r="A195" s="8" t="s">
        <v>444</v>
      </c>
      <c r="B195" s="6" t="s">
        <v>445</v>
      </c>
      <c r="C195" s="6" t="s">
        <v>31</v>
      </c>
      <c r="D195" s="6">
        <v>39</v>
      </c>
      <c r="E195" s="6" t="s">
        <v>55</v>
      </c>
      <c r="F195" s="6" t="s">
        <v>43</v>
      </c>
      <c r="G195" s="6" t="s">
        <v>69</v>
      </c>
      <c r="H195" s="6" t="s">
        <v>70</v>
      </c>
      <c r="I195" s="6">
        <v>11</v>
      </c>
      <c r="J195" s="6">
        <v>74127</v>
      </c>
      <c r="K195" s="6" t="s">
        <v>26</v>
      </c>
      <c r="L195" s="6">
        <v>8</v>
      </c>
      <c r="M195" s="6">
        <v>12</v>
      </c>
      <c r="N195" s="6">
        <v>5</v>
      </c>
      <c r="O195" s="6" t="s">
        <v>28</v>
      </c>
      <c r="P195" s="6" t="s">
        <v>28</v>
      </c>
      <c r="Q195" s="6">
        <v>4</v>
      </c>
      <c r="R195" s="6" t="s">
        <v>27</v>
      </c>
      <c r="S195" s="6" t="s">
        <v>27</v>
      </c>
    </row>
    <row r="196" spans="1:19" x14ac:dyDescent="0.35">
      <c r="A196" s="7" t="s">
        <v>446</v>
      </c>
      <c r="B196" s="5" t="s">
        <v>447</v>
      </c>
      <c r="C196" s="5" t="s">
        <v>21</v>
      </c>
      <c r="D196" s="5">
        <v>45</v>
      </c>
      <c r="E196" s="5" t="s">
        <v>38</v>
      </c>
      <c r="F196" s="5" t="s">
        <v>23</v>
      </c>
      <c r="G196" s="5" t="s">
        <v>24</v>
      </c>
      <c r="H196" s="5" t="s">
        <v>49</v>
      </c>
      <c r="I196" s="5">
        <v>18</v>
      </c>
      <c r="J196" s="5">
        <v>71675</v>
      </c>
      <c r="K196" s="5" t="s">
        <v>35</v>
      </c>
      <c r="L196" s="5">
        <v>2</v>
      </c>
      <c r="M196" s="5">
        <v>37</v>
      </c>
      <c r="N196" s="5">
        <v>5</v>
      </c>
      <c r="O196" s="5" t="s">
        <v>28</v>
      </c>
      <c r="P196" s="5" t="s">
        <v>28</v>
      </c>
      <c r="Q196" s="5">
        <v>4</v>
      </c>
      <c r="R196" s="5" t="s">
        <v>27</v>
      </c>
      <c r="S196" s="5" t="s">
        <v>27</v>
      </c>
    </row>
    <row r="197" spans="1:19" x14ac:dyDescent="0.35">
      <c r="A197" s="8" t="s">
        <v>448</v>
      </c>
      <c r="B197" s="6" t="s">
        <v>449</v>
      </c>
      <c r="C197" s="6" t="s">
        <v>21</v>
      </c>
      <c r="D197" s="6">
        <v>34</v>
      </c>
      <c r="E197" s="6" t="s">
        <v>38</v>
      </c>
      <c r="F197" s="6" t="s">
        <v>33</v>
      </c>
      <c r="G197" s="6" t="s">
        <v>24</v>
      </c>
      <c r="H197" s="6" t="s">
        <v>49</v>
      </c>
      <c r="I197" s="6">
        <v>6</v>
      </c>
      <c r="J197" s="6">
        <v>58554</v>
      </c>
      <c r="K197" s="6" t="s">
        <v>45</v>
      </c>
      <c r="L197" s="6">
        <v>8</v>
      </c>
      <c r="M197" s="6">
        <v>44</v>
      </c>
      <c r="N197" s="6">
        <v>3</v>
      </c>
      <c r="O197" s="6" t="s">
        <v>27</v>
      </c>
      <c r="P197" s="6" t="s">
        <v>28</v>
      </c>
      <c r="Q197" s="6">
        <v>1</v>
      </c>
      <c r="R197" s="6" t="s">
        <v>27</v>
      </c>
      <c r="S197" s="6" t="s">
        <v>27</v>
      </c>
    </row>
    <row r="198" spans="1:19" x14ac:dyDescent="0.35">
      <c r="A198" s="7" t="s">
        <v>450</v>
      </c>
      <c r="B198" s="5" t="s">
        <v>451</v>
      </c>
      <c r="C198" s="5" t="s">
        <v>21</v>
      </c>
      <c r="D198" s="5">
        <v>25</v>
      </c>
      <c r="E198" s="5" t="s">
        <v>38</v>
      </c>
      <c r="F198" s="5" t="s">
        <v>64</v>
      </c>
      <c r="G198" s="5" t="s">
        <v>24</v>
      </c>
      <c r="H198" s="5" t="s">
        <v>70</v>
      </c>
      <c r="I198" s="5">
        <v>3</v>
      </c>
      <c r="J198" s="5">
        <v>67008</v>
      </c>
      <c r="K198" s="5" t="s">
        <v>45</v>
      </c>
      <c r="L198" s="5">
        <v>8</v>
      </c>
      <c r="M198" s="5">
        <v>31</v>
      </c>
      <c r="N198" s="5">
        <v>5</v>
      </c>
      <c r="O198" s="5" t="s">
        <v>28</v>
      </c>
      <c r="P198" s="5" t="s">
        <v>28</v>
      </c>
      <c r="Q198" s="5">
        <v>2</v>
      </c>
      <c r="R198" s="5" t="s">
        <v>28</v>
      </c>
      <c r="S198" s="5" t="s">
        <v>27</v>
      </c>
    </row>
    <row r="199" spans="1:19" x14ac:dyDescent="0.35">
      <c r="A199" s="8" t="s">
        <v>452</v>
      </c>
      <c r="B199" s="6" t="s">
        <v>453</v>
      </c>
      <c r="C199" s="6" t="s">
        <v>454</v>
      </c>
      <c r="D199" s="6">
        <v>25</v>
      </c>
      <c r="E199" s="6" t="s">
        <v>22</v>
      </c>
      <c r="F199" s="6" t="s">
        <v>23</v>
      </c>
      <c r="G199" s="6" t="s">
        <v>24</v>
      </c>
      <c r="H199" s="6" t="s">
        <v>61</v>
      </c>
      <c r="I199" s="6">
        <v>3</v>
      </c>
      <c r="J199" s="6">
        <v>68340</v>
      </c>
      <c r="K199" s="6" t="s">
        <v>45</v>
      </c>
      <c r="L199" s="6">
        <v>7</v>
      </c>
      <c r="M199" s="6">
        <v>49</v>
      </c>
      <c r="N199" s="6">
        <v>2</v>
      </c>
      <c r="O199" s="6" t="s">
        <v>27</v>
      </c>
      <c r="P199" s="6" t="s">
        <v>28</v>
      </c>
      <c r="Q199" s="6">
        <v>3</v>
      </c>
      <c r="R199" s="6" t="s">
        <v>27</v>
      </c>
      <c r="S199" s="6" t="s">
        <v>27</v>
      </c>
    </row>
    <row r="200" spans="1:19" x14ac:dyDescent="0.35">
      <c r="A200" s="7" t="s">
        <v>455</v>
      </c>
      <c r="B200" s="5" t="s">
        <v>456</v>
      </c>
      <c r="C200" s="5" t="s">
        <v>21</v>
      </c>
      <c r="D200" s="5">
        <v>54</v>
      </c>
      <c r="E200" s="5" t="s">
        <v>38</v>
      </c>
      <c r="F200" s="5" t="s">
        <v>33</v>
      </c>
      <c r="G200" s="5" t="s">
        <v>24</v>
      </c>
      <c r="H200" s="5" t="s">
        <v>61</v>
      </c>
      <c r="I200" s="5">
        <v>22</v>
      </c>
      <c r="J200" s="5">
        <v>82000</v>
      </c>
      <c r="K200" s="5" t="s">
        <v>40</v>
      </c>
      <c r="L200" s="5">
        <v>7</v>
      </c>
      <c r="M200" s="5">
        <v>6</v>
      </c>
      <c r="N200" s="5">
        <v>7</v>
      </c>
      <c r="O200" s="5" t="s">
        <v>27</v>
      </c>
      <c r="P200" s="5" t="s">
        <v>28</v>
      </c>
      <c r="Q200" s="5">
        <v>2</v>
      </c>
      <c r="R200" s="5" t="s">
        <v>27</v>
      </c>
      <c r="S200" s="5" t="s">
        <v>27</v>
      </c>
    </row>
    <row r="201" spans="1:19" x14ac:dyDescent="0.35">
      <c r="A201" s="8" t="s">
        <v>457</v>
      </c>
      <c r="B201" s="6" t="s">
        <v>458</v>
      </c>
      <c r="C201" s="6" t="s">
        <v>31</v>
      </c>
      <c r="D201" s="6">
        <v>30</v>
      </c>
      <c r="E201" s="6" t="s">
        <v>55</v>
      </c>
      <c r="F201" s="6" t="s">
        <v>39</v>
      </c>
      <c r="G201" s="6" t="s">
        <v>24</v>
      </c>
      <c r="H201" s="6" t="s">
        <v>25</v>
      </c>
      <c r="I201" s="6">
        <v>6</v>
      </c>
      <c r="J201" s="6">
        <v>49612</v>
      </c>
      <c r="K201" s="6" t="s">
        <v>45</v>
      </c>
      <c r="L201" s="6">
        <v>4</v>
      </c>
      <c r="M201" s="6">
        <v>4</v>
      </c>
      <c r="N201" s="6">
        <v>0</v>
      </c>
      <c r="O201" s="6" t="s">
        <v>27</v>
      </c>
      <c r="P201" s="6" t="s">
        <v>28</v>
      </c>
      <c r="Q201" s="6">
        <v>3</v>
      </c>
      <c r="R201" s="6" t="s">
        <v>27</v>
      </c>
      <c r="S201" s="6" t="s">
        <v>27</v>
      </c>
    </row>
    <row r="202" spans="1:19" x14ac:dyDescent="0.35">
      <c r="A202" s="7" t="s">
        <v>459</v>
      </c>
      <c r="B202" s="5" t="s">
        <v>460</v>
      </c>
      <c r="C202" s="5" t="s">
        <v>21</v>
      </c>
      <c r="D202" s="5">
        <v>45</v>
      </c>
      <c r="E202" s="5" t="s">
        <v>55</v>
      </c>
      <c r="F202" s="5" t="s">
        <v>43</v>
      </c>
      <c r="G202" s="5" t="s">
        <v>69</v>
      </c>
      <c r="H202" s="5" t="s">
        <v>61</v>
      </c>
      <c r="I202" s="5">
        <v>10</v>
      </c>
      <c r="J202" s="5">
        <v>75037</v>
      </c>
      <c r="K202" s="5" t="s">
        <v>45</v>
      </c>
      <c r="L202" s="5">
        <v>2</v>
      </c>
      <c r="M202" s="5">
        <v>22</v>
      </c>
      <c r="N202" s="5">
        <v>4</v>
      </c>
      <c r="O202" s="5" t="s">
        <v>27</v>
      </c>
      <c r="P202" s="5" t="s">
        <v>27</v>
      </c>
      <c r="Q202" s="5">
        <v>1</v>
      </c>
      <c r="R202" s="5" t="s">
        <v>28</v>
      </c>
      <c r="S202" s="5" t="s">
        <v>27</v>
      </c>
    </row>
    <row r="203" spans="1:19" x14ac:dyDescent="0.35">
      <c r="A203" s="8" t="s">
        <v>461</v>
      </c>
      <c r="B203" s="6" t="s">
        <v>462</v>
      </c>
      <c r="C203" s="6" t="s">
        <v>21</v>
      </c>
      <c r="D203" s="6">
        <v>32</v>
      </c>
      <c r="E203" s="6" t="s">
        <v>38</v>
      </c>
      <c r="F203" s="6" t="s">
        <v>23</v>
      </c>
      <c r="G203" s="6" t="s">
        <v>24</v>
      </c>
      <c r="H203" s="6" t="s">
        <v>131</v>
      </c>
      <c r="I203" s="6">
        <v>6</v>
      </c>
      <c r="J203" s="6">
        <v>70683</v>
      </c>
      <c r="K203" s="6" t="s">
        <v>45</v>
      </c>
      <c r="L203" s="6">
        <v>6</v>
      </c>
      <c r="M203" s="6">
        <v>27</v>
      </c>
      <c r="N203" s="6">
        <v>3</v>
      </c>
      <c r="O203" s="6" t="s">
        <v>27</v>
      </c>
      <c r="P203" s="6" t="s">
        <v>27</v>
      </c>
      <c r="Q203" s="6">
        <v>1</v>
      </c>
      <c r="R203" s="6" t="s">
        <v>27</v>
      </c>
      <c r="S203" s="6" t="s">
        <v>27</v>
      </c>
    </row>
    <row r="204" spans="1:19" x14ac:dyDescent="0.35">
      <c r="A204" s="7" t="s">
        <v>463</v>
      </c>
      <c r="B204" s="5" t="s">
        <v>464</v>
      </c>
      <c r="C204" s="5" t="s">
        <v>21</v>
      </c>
      <c r="D204" s="5">
        <v>36</v>
      </c>
      <c r="E204" s="5" t="s">
        <v>55</v>
      </c>
      <c r="F204" s="5" t="s">
        <v>60</v>
      </c>
      <c r="G204" s="5" t="s">
        <v>24</v>
      </c>
      <c r="H204" s="5" t="s">
        <v>61</v>
      </c>
      <c r="I204" s="5">
        <v>9</v>
      </c>
      <c r="J204" s="5">
        <v>56682</v>
      </c>
      <c r="K204" s="5" t="s">
        <v>40</v>
      </c>
      <c r="L204" s="5">
        <v>7</v>
      </c>
      <c r="M204" s="5">
        <v>44</v>
      </c>
      <c r="N204" s="5">
        <v>6</v>
      </c>
      <c r="O204" s="5" t="s">
        <v>28</v>
      </c>
      <c r="P204" s="5" t="s">
        <v>28</v>
      </c>
      <c r="Q204" s="5">
        <v>5</v>
      </c>
      <c r="R204" s="5" t="s">
        <v>27</v>
      </c>
      <c r="S204" s="5" t="s">
        <v>27</v>
      </c>
    </row>
    <row r="205" spans="1:19" x14ac:dyDescent="0.35">
      <c r="A205" s="8" t="s">
        <v>465</v>
      </c>
      <c r="B205" s="6" t="s">
        <v>466</v>
      </c>
      <c r="C205" s="6" t="s">
        <v>31</v>
      </c>
      <c r="D205" s="6">
        <v>51</v>
      </c>
      <c r="E205" s="6" t="s">
        <v>55</v>
      </c>
      <c r="F205" s="6" t="s">
        <v>33</v>
      </c>
      <c r="G205" s="6" t="s">
        <v>69</v>
      </c>
      <c r="H205" s="6" t="s">
        <v>25</v>
      </c>
      <c r="I205" s="6">
        <v>17</v>
      </c>
      <c r="J205" s="6">
        <v>46674</v>
      </c>
      <c r="K205" s="6" t="s">
        <v>26</v>
      </c>
      <c r="L205" s="6">
        <v>2</v>
      </c>
      <c r="M205" s="6">
        <v>19</v>
      </c>
      <c r="N205" s="6">
        <v>4</v>
      </c>
      <c r="O205" s="6" t="s">
        <v>28</v>
      </c>
      <c r="P205" s="6" t="s">
        <v>28</v>
      </c>
      <c r="Q205" s="6">
        <v>4</v>
      </c>
      <c r="R205" s="6" t="s">
        <v>27</v>
      </c>
      <c r="S205" s="6" t="s">
        <v>27</v>
      </c>
    </row>
    <row r="206" spans="1:19" x14ac:dyDescent="0.35">
      <c r="A206" s="7" t="s">
        <v>467</v>
      </c>
      <c r="B206" s="5" t="s">
        <v>468</v>
      </c>
      <c r="C206" s="5" t="s">
        <v>21</v>
      </c>
      <c r="D206" s="5">
        <v>23</v>
      </c>
      <c r="E206" s="5" t="s">
        <v>38</v>
      </c>
      <c r="F206" s="5" t="s">
        <v>33</v>
      </c>
      <c r="G206" s="5" t="s">
        <v>69</v>
      </c>
      <c r="H206" s="5" t="s">
        <v>61</v>
      </c>
      <c r="I206" s="5">
        <v>1</v>
      </c>
      <c r="J206" s="5">
        <v>57634</v>
      </c>
      <c r="K206" s="5" t="s">
        <v>35</v>
      </c>
      <c r="L206" s="5">
        <v>7</v>
      </c>
      <c r="M206" s="5">
        <v>14</v>
      </c>
      <c r="N206" s="5">
        <v>3</v>
      </c>
      <c r="O206" s="5" t="s">
        <v>28</v>
      </c>
      <c r="P206" s="5" t="s">
        <v>28</v>
      </c>
      <c r="Q206" s="5">
        <v>2</v>
      </c>
      <c r="R206" s="5" t="s">
        <v>27</v>
      </c>
      <c r="S206" s="5" t="s">
        <v>27</v>
      </c>
    </row>
    <row r="207" spans="1:19" x14ac:dyDescent="0.35">
      <c r="A207" s="8" t="s">
        <v>469</v>
      </c>
      <c r="B207" s="6" t="s">
        <v>470</v>
      </c>
      <c r="C207" s="6" t="s">
        <v>31</v>
      </c>
      <c r="D207" s="6">
        <v>36</v>
      </c>
      <c r="E207" s="6" t="s">
        <v>55</v>
      </c>
      <c r="F207" s="6" t="s">
        <v>43</v>
      </c>
      <c r="G207" s="6" t="s">
        <v>69</v>
      </c>
      <c r="H207" s="6" t="s">
        <v>25</v>
      </c>
      <c r="I207" s="6">
        <v>6</v>
      </c>
      <c r="J207" s="6">
        <v>82000</v>
      </c>
      <c r="K207" s="6" t="s">
        <v>45</v>
      </c>
      <c r="L207" s="6">
        <v>3</v>
      </c>
      <c r="M207" s="6">
        <v>20</v>
      </c>
      <c r="N207" s="6">
        <v>1</v>
      </c>
      <c r="O207" s="6" t="s">
        <v>27</v>
      </c>
      <c r="P207" s="6" t="s">
        <v>28</v>
      </c>
      <c r="Q207" s="6">
        <v>1</v>
      </c>
      <c r="R207" s="6" t="s">
        <v>27</v>
      </c>
      <c r="S207" s="6" t="s">
        <v>27</v>
      </c>
    </row>
    <row r="208" spans="1:19" x14ac:dyDescent="0.35">
      <c r="A208" s="7" t="s">
        <v>471</v>
      </c>
      <c r="B208" s="5" t="s">
        <v>472</v>
      </c>
      <c r="C208" s="5" t="s">
        <v>21</v>
      </c>
      <c r="D208" s="5">
        <v>48</v>
      </c>
      <c r="E208" s="5" t="s">
        <v>55</v>
      </c>
      <c r="F208" s="5" t="s">
        <v>43</v>
      </c>
      <c r="G208" s="5" t="s">
        <v>44</v>
      </c>
      <c r="H208" s="5" t="s">
        <v>61</v>
      </c>
      <c r="I208" s="5">
        <v>20</v>
      </c>
      <c r="J208" s="5">
        <v>82000</v>
      </c>
      <c r="K208" s="5" t="s">
        <v>45</v>
      </c>
      <c r="L208" s="5">
        <v>1</v>
      </c>
      <c r="M208" s="5">
        <v>36</v>
      </c>
      <c r="N208" s="5">
        <v>3</v>
      </c>
      <c r="O208" s="5" t="s">
        <v>27</v>
      </c>
      <c r="P208" s="5" t="s">
        <v>28</v>
      </c>
      <c r="Q208" s="5">
        <v>2</v>
      </c>
      <c r="R208" s="5" t="s">
        <v>28</v>
      </c>
      <c r="S208" s="5" t="s">
        <v>28</v>
      </c>
    </row>
    <row r="209" spans="1:19" x14ac:dyDescent="0.35">
      <c r="A209" s="8" t="s">
        <v>473</v>
      </c>
      <c r="B209" s="6" t="s">
        <v>474</v>
      </c>
      <c r="C209" s="6" t="s">
        <v>31</v>
      </c>
      <c r="D209" s="6">
        <v>21</v>
      </c>
      <c r="E209" s="6" t="s">
        <v>38</v>
      </c>
      <c r="F209" s="6" t="s">
        <v>48</v>
      </c>
      <c r="G209" s="6" t="s">
        <v>69</v>
      </c>
      <c r="H209" s="6" t="s">
        <v>70</v>
      </c>
      <c r="I209" s="6">
        <v>0</v>
      </c>
      <c r="J209" s="6">
        <v>36595</v>
      </c>
      <c r="K209" s="6" t="s">
        <v>40</v>
      </c>
      <c r="L209" s="6">
        <v>5</v>
      </c>
      <c r="M209" s="6">
        <v>35</v>
      </c>
      <c r="N209" s="6">
        <v>6</v>
      </c>
      <c r="O209" s="6" t="s">
        <v>27</v>
      </c>
      <c r="P209" s="6" t="s">
        <v>27</v>
      </c>
      <c r="Q209" s="6">
        <v>4</v>
      </c>
      <c r="R209" s="6" t="s">
        <v>27</v>
      </c>
      <c r="S209" s="6" t="s">
        <v>27</v>
      </c>
    </row>
    <row r="210" spans="1:19" x14ac:dyDescent="0.35">
      <c r="A210" s="7" t="s">
        <v>475</v>
      </c>
      <c r="B210" s="5" t="s">
        <v>476</v>
      </c>
      <c r="C210" s="5" t="s">
        <v>31</v>
      </c>
      <c r="D210" s="5">
        <v>25</v>
      </c>
      <c r="E210" s="5" t="s">
        <v>55</v>
      </c>
      <c r="F210" s="5" t="s">
        <v>48</v>
      </c>
      <c r="G210" s="5" t="s">
        <v>24</v>
      </c>
      <c r="H210" s="5" t="s">
        <v>25</v>
      </c>
      <c r="I210" s="5">
        <v>3</v>
      </c>
      <c r="J210" s="5">
        <v>51762</v>
      </c>
      <c r="K210" s="5" t="s">
        <v>35</v>
      </c>
      <c r="L210" s="5">
        <v>5</v>
      </c>
      <c r="M210" s="5">
        <v>40</v>
      </c>
      <c r="N210" s="5">
        <v>1</v>
      </c>
      <c r="O210" s="5" t="s">
        <v>27</v>
      </c>
      <c r="P210" s="5" t="s">
        <v>27</v>
      </c>
      <c r="Q210" s="5">
        <v>2</v>
      </c>
      <c r="R210" s="5" t="s">
        <v>27</v>
      </c>
      <c r="S210" s="5" t="s">
        <v>27</v>
      </c>
    </row>
    <row r="211" spans="1:19" x14ac:dyDescent="0.35">
      <c r="A211" s="8" t="s">
        <v>477</v>
      </c>
      <c r="B211" s="6" t="s">
        <v>478</v>
      </c>
      <c r="C211" s="6" t="s">
        <v>21</v>
      </c>
      <c r="D211" s="6">
        <v>53</v>
      </c>
      <c r="E211" s="6" t="s">
        <v>32</v>
      </c>
      <c r="F211" s="6" t="s">
        <v>23</v>
      </c>
      <c r="G211" s="6" t="s">
        <v>24</v>
      </c>
      <c r="H211" s="6" t="s">
        <v>70</v>
      </c>
      <c r="I211" s="6">
        <v>19</v>
      </c>
      <c r="J211" s="6">
        <v>72619</v>
      </c>
      <c r="K211" s="6" t="s">
        <v>45</v>
      </c>
      <c r="L211" s="6">
        <v>5</v>
      </c>
      <c r="M211" s="6">
        <v>49</v>
      </c>
      <c r="N211" s="6">
        <v>7</v>
      </c>
      <c r="O211" s="6" t="s">
        <v>27</v>
      </c>
      <c r="P211" s="6" t="s">
        <v>27</v>
      </c>
      <c r="Q211" s="6">
        <v>2</v>
      </c>
      <c r="R211" s="6" t="s">
        <v>27</v>
      </c>
      <c r="S211" s="6" t="s">
        <v>27</v>
      </c>
    </row>
    <row r="212" spans="1:19" x14ac:dyDescent="0.35">
      <c r="A212" s="7" t="s">
        <v>479</v>
      </c>
      <c r="B212" s="5" t="s">
        <v>480</v>
      </c>
      <c r="C212" s="5" t="s">
        <v>21</v>
      </c>
      <c r="D212" s="5">
        <v>47</v>
      </c>
      <c r="E212" s="5" t="s">
        <v>55</v>
      </c>
      <c r="F212" s="5" t="s">
        <v>23</v>
      </c>
      <c r="G212" s="5" t="s">
        <v>24</v>
      </c>
      <c r="H212" s="5" t="s">
        <v>61</v>
      </c>
      <c r="I212" s="5">
        <v>11</v>
      </c>
      <c r="J212" s="5">
        <v>80288</v>
      </c>
      <c r="K212" s="5" t="s">
        <v>26</v>
      </c>
      <c r="L212" s="5">
        <v>1</v>
      </c>
      <c r="M212" s="5">
        <v>27</v>
      </c>
      <c r="N212" s="5">
        <v>2</v>
      </c>
      <c r="O212" s="5" t="s">
        <v>27</v>
      </c>
      <c r="P212" s="5" t="s">
        <v>27</v>
      </c>
      <c r="Q212" s="5">
        <v>3</v>
      </c>
      <c r="R212" s="5" t="s">
        <v>27</v>
      </c>
      <c r="S212" s="5" t="s">
        <v>27</v>
      </c>
    </row>
    <row r="213" spans="1:19" x14ac:dyDescent="0.35">
      <c r="A213" s="8" t="s">
        <v>481</v>
      </c>
      <c r="B213" s="6" t="s">
        <v>482</v>
      </c>
      <c r="C213" s="6" t="s">
        <v>31</v>
      </c>
      <c r="D213" s="6">
        <v>36</v>
      </c>
      <c r="E213" s="6" t="s">
        <v>55</v>
      </c>
      <c r="F213" s="6" t="s">
        <v>39</v>
      </c>
      <c r="G213" s="6" t="s">
        <v>24</v>
      </c>
      <c r="H213" s="6" t="s">
        <v>34</v>
      </c>
      <c r="I213" s="6">
        <v>10</v>
      </c>
      <c r="J213" s="6">
        <v>35719</v>
      </c>
      <c r="K213" s="6" t="s">
        <v>45</v>
      </c>
      <c r="L213" s="6">
        <v>5</v>
      </c>
      <c r="M213" s="6">
        <v>10</v>
      </c>
      <c r="N213" s="6">
        <v>3</v>
      </c>
      <c r="O213" s="6" t="s">
        <v>28</v>
      </c>
      <c r="P213" s="6" t="s">
        <v>28</v>
      </c>
      <c r="Q213" s="6">
        <v>3</v>
      </c>
      <c r="R213" s="6" t="s">
        <v>27</v>
      </c>
      <c r="S213" s="6" t="s">
        <v>28</v>
      </c>
    </row>
    <row r="214" spans="1:19" x14ac:dyDescent="0.35">
      <c r="A214" s="7" t="s">
        <v>483</v>
      </c>
      <c r="B214" s="5" t="s">
        <v>484</v>
      </c>
      <c r="C214" s="5" t="s">
        <v>31</v>
      </c>
      <c r="D214" s="5">
        <v>22</v>
      </c>
      <c r="E214" s="5" t="s">
        <v>55</v>
      </c>
      <c r="F214" s="5" t="s">
        <v>39</v>
      </c>
      <c r="G214" s="5" t="s">
        <v>24</v>
      </c>
      <c r="H214" s="5" t="s">
        <v>52</v>
      </c>
      <c r="I214" s="5">
        <v>1</v>
      </c>
      <c r="J214" s="5">
        <v>53760</v>
      </c>
      <c r="K214" s="5" t="s">
        <v>45</v>
      </c>
      <c r="L214" s="5">
        <v>7</v>
      </c>
      <c r="M214" s="5">
        <v>0</v>
      </c>
      <c r="N214" s="5">
        <v>6</v>
      </c>
      <c r="O214" s="5" t="s">
        <v>28</v>
      </c>
      <c r="P214" s="5" t="s">
        <v>28</v>
      </c>
      <c r="Q214" s="5">
        <v>3</v>
      </c>
      <c r="R214" s="5" t="s">
        <v>28</v>
      </c>
      <c r="S214" s="5" t="s">
        <v>27</v>
      </c>
    </row>
    <row r="215" spans="1:19" x14ac:dyDescent="0.35">
      <c r="A215" s="8" t="s">
        <v>485</v>
      </c>
      <c r="B215" s="6" t="s">
        <v>486</v>
      </c>
      <c r="C215" s="6" t="s">
        <v>31</v>
      </c>
      <c r="D215" s="6">
        <v>30</v>
      </c>
      <c r="E215" s="6" t="s">
        <v>22</v>
      </c>
      <c r="F215" s="6" t="s">
        <v>23</v>
      </c>
      <c r="G215" s="6" t="s">
        <v>69</v>
      </c>
      <c r="H215" s="6" t="s">
        <v>131</v>
      </c>
      <c r="I215" s="6">
        <v>4</v>
      </c>
      <c r="J215" s="6">
        <v>57859</v>
      </c>
      <c r="K215" s="6" t="s">
        <v>26</v>
      </c>
      <c r="L215" s="6">
        <v>5</v>
      </c>
      <c r="M215" s="6">
        <v>34</v>
      </c>
      <c r="N215" s="6">
        <v>2</v>
      </c>
      <c r="O215" s="6" t="s">
        <v>27</v>
      </c>
      <c r="P215" s="6" t="s">
        <v>27</v>
      </c>
      <c r="Q215" s="6">
        <v>5</v>
      </c>
      <c r="R215" s="6" t="s">
        <v>27</v>
      </c>
      <c r="S215" s="6" t="s">
        <v>27</v>
      </c>
    </row>
    <row r="216" spans="1:19" x14ac:dyDescent="0.35">
      <c r="A216" s="7" t="s">
        <v>487</v>
      </c>
      <c r="B216" s="5" t="s">
        <v>488</v>
      </c>
      <c r="C216" s="5" t="s">
        <v>31</v>
      </c>
      <c r="D216" s="5">
        <v>39</v>
      </c>
      <c r="E216" s="5" t="s">
        <v>55</v>
      </c>
      <c r="F216" s="5" t="s">
        <v>43</v>
      </c>
      <c r="G216" s="5" t="s">
        <v>69</v>
      </c>
      <c r="H216" s="5" t="s">
        <v>52</v>
      </c>
      <c r="I216" s="5">
        <v>12</v>
      </c>
      <c r="J216" s="5">
        <v>72124</v>
      </c>
      <c r="K216" s="5" t="s">
        <v>26</v>
      </c>
      <c r="L216" s="5">
        <v>6</v>
      </c>
      <c r="M216" s="5">
        <v>34</v>
      </c>
      <c r="N216" s="5">
        <v>4</v>
      </c>
      <c r="O216" s="5" t="s">
        <v>28</v>
      </c>
      <c r="P216" s="5" t="s">
        <v>28</v>
      </c>
      <c r="Q216" s="5">
        <v>2</v>
      </c>
      <c r="R216" s="5" t="s">
        <v>28</v>
      </c>
      <c r="S216" s="5" t="s">
        <v>27</v>
      </c>
    </row>
    <row r="217" spans="1:19" x14ac:dyDescent="0.35">
      <c r="A217" s="8" t="s">
        <v>489</v>
      </c>
      <c r="B217" s="6" t="s">
        <v>490</v>
      </c>
      <c r="C217" s="6" t="s">
        <v>21</v>
      </c>
      <c r="D217" s="6">
        <v>27</v>
      </c>
      <c r="E217" s="6" t="s">
        <v>38</v>
      </c>
      <c r="F217" s="6" t="s">
        <v>43</v>
      </c>
      <c r="G217" s="6" t="s">
        <v>24</v>
      </c>
      <c r="H217" s="6" t="s">
        <v>25</v>
      </c>
      <c r="I217" s="6">
        <v>3</v>
      </c>
      <c r="J217" s="6">
        <v>63457</v>
      </c>
      <c r="K217" s="6" t="s">
        <v>35</v>
      </c>
      <c r="L217" s="6">
        <v>9</v>
      </c>
      <c r="M217" s="6">
        <v>34</v>
      </c>
      <c r="N217" s="6">
        <v>6</v>
      </c>
      <c r="O217" s="6" t="s">
        <v>28</v>
      </c>
      <c r="P217" s="6" t="s">
        <v>27</v>
      </c>
      <c r="Q217" s="6">
        <v>3</v>
      </c>
      <c r="R217" s="6" t="s">
        <v>27</v>
      </c>
      <c r="S217" s="6" t="s">
        <v>27</v>
      </c>
    </row>
    <row r="218" spans="1:19" x14ac:dyDescent="0.35">
      <c r="A218" s="7" t="s">
        <v>493</v>
      </c>
      <c r="B218" s="5" t="s">
        <v>494</v>
      </c>
      <c r="C218" s="5" t="s">
        <v>31</v>
      </c>
      <c r="D218" s="5">
        <v>39</v>
      </c>
      <c r="E218" s="5" t="s">
        <v>55</v>
      </c>
      <c r="F218" s="5" t="s">
        <v>60</v>
      </c>
      <c r="G218" s="5" t="s">
        <v>24</v>
      </c>
      <c r="H218" s="5" t="s">
        <v>52</v>
      </c>
      <c r="I218" s="5">
        <v>15</v>
      </c>
      <c r="J218" s="5">
        <v>64085</v>
      </c>
      <c r="K218" s="5" t="s">
        <v>35</v>
      </c>
      <c r="L218" s="5">
        <v>3</v>
      </c>
      <c r="M218" s="5">
        <v>18</v>
      </c>
      <c r="N218" s="5">
        <v>3</v>
      </c>
      <c r="O218" s="5" t="s">
        <v>27</v>
      </c>
      <c r="P218" s="5" t="s">
        <v>27</v>
      </c>
      <c r="Q218" s="5">
        <v>1</v>
      </c>
      <c r="R218" s="5" t="s">
        <v>27</v>
      </c>
      <c r="S218" s="5" t="s">
        <v>27</v>
      </c>
    </row>
    <row r="219" spans="1:19" x14ac:dyDescent="0.35">
      <c r="A219" s="8" t="s">
        <v>495</v>
      </c>
      <c r="B219" s="6" t="s">
        <v>496</v>
      </c>
      <c r="C219" s="6" t="s">
        <v>21</v>
      </c>
      <c r="D219" s="6">
        <v>55</v>
      </c>
      <c r="E219" s="6" t="s">
        <v>32</v>
      </c>
      <c r="F219" s="6" t="s">
        <v>39</v>
      </c>
      <c r="G219" s="6" t="s">
        <v>69</v>
      </c>
      <c r="H219" s="6" t="s">
        <v>49</v>
      </c>
      <c r="I219" s="6">
        <v>15</v>
      </c>
      <c r="J219" s="6">
        <v>59803</v>
      </c>
      <c r="K219" s="6" t="s">
        <v>26</v>
      </c>
      <c r="L219" s="6">
        <v>5</v>
      </c>
      <c r="M219" s="6">
        <v>25</v>
      </c>
      <c r="N219" s="6">
        <v>4</v>
      </c>
      <c r="O219" s="6" t="s">
        <v>27</v>
      </c>
      <c r="P219" s="6" t="s">
        <v>27</v>
      </c>
      <c r="Q219" s="6">
        <v>1</v>
      </c>
      <c r="R219" s="6" t="s">
        <v>27</v>
      </c>
      <c r="S219" s="6" t="s">
        <v>27</v>
      </c>
    </row>
    <row r="220" spans="1:19" x14ac:dyDescent="0.35">
      <c r="A220" s="7" t="s">
        <v>497</v>
      </c>
      <c r="B220" s="5" t="s">
        <v>498</v>
      </c>
      <c r="C220" s="5" t="s">
        <v>31</v>
      </c>
      <c r="D220" s="5">
        <v>50</v>
      </c>
      <c r="E220" s="5" t="s">
        <v>38</v>
      </c>
      <c r="F220" s="5" t="s">
        <v>23</v>
      </c>
      <c r="G220" s="5" t="s">
        <v>24</v>
      </c>
      <c r="H220" s="5" t="s">
        <v>70</v>
      </c>
      <c r="I220" s="5">
        <v>14</v>
      </c>
      <c r="J220" s="5">
        <v>72019</v>
      </c>
      <c r="K220" s="5" t="s">
        <v>45</v>
      </c>
      <c r="L220" s="5">
        <v>7</v>
      </c>
      <c r="M220" s="5">
        <v>46</v>
      </c>
      <c r="N220" s="5">
        <v>1</v>
      </c>
      <c r="O220" s="5" t="s">
        <v>27</v>
      </c>
      <c r="P220" s="5" t="s">
        <v>28</v>
      </c>
      <c r="Q220" s="5">
        <v>4</v>
      </c>
      <c r="R220" s="5" t="s">
        <v>27</v>
      </c>
      <c r="S220" s="5" t="s">
        <v>27</v>
      </c>
    </row>
    <row r="221" spans="1:19" x14ac:dyDescent="0.35">
      <c r="A221" s="8" t="s">
        <v>499</v>
      </c>
      <c r="B221" s="6" t="s">
        <v>500</v>
      </c>
      <c r="C221" s="6" t="s">
        <v>21</v>
      </c>
      <c r="D221" s="6">
        <v>49</v>
      </c>
      <c r="E221" s="6" t="s">
        <v>38</v>
      </c>
      <c r="F221" s="6" t="s">
        <v>33</v>
      </c>
      <c r="G221" s="6" t="s">
        <v>24</v>
      </c>
      <c r="H221" s="6" t="s">
        <v>34</v>
      </c>
      <c r="I221" s="6">
        <v>13</v>
      </c>
      <c r="J221" s="6">
        <v>65653</v>
      </c>
      <c r="K221" s="6" t="s">
        <v>26</v>
      </c>
      <c r="L221" s="6">
        <v>4</v>
      </c>
      <c r="M221" s="6">
        <v>22</v>
      </c>
      <c r="N221" s="6">
        <v>2</v>
      </c>
      <c r="O221" s="6" t="s">
        <v>27</v>
      </c>
      <c r="P221" s="6" t="s">
        <v>27</v>
      </c>
      <c r="Q221" s="6">
        <v>3</v>
      </c>
      <c r="R221" s="6" t="s">
        <v>27</v>
      </c>
      <c r="S221" s="6" t="s">
        <v>27</v>
      </c>
    </row>
    <row r="222" spans="1:19" x14ac:dyDescent="0.35">
      <c r="A222" s="7" t="s">
        <v>501</v>
      </c>
      <c r="B222" s="5" t="s">
        <v>502</v>
      </c>
      <c r="C222" s="5" t="s">
        <v>31</v>
      </c>
      <c r="D222" s="5">
        <v>29</v>
      </c>
      <c r="E222" s="5" t="s">
        <v>32</v>
      </c>
      <c r="F222" s="5" t="s">
        <v>48</v>
      </c>
      <c r="G222" s="5" t="s">
        <v>24</v>
      </c>
      <c r="H222" s="5" t="s">
        <v>25</v>
      </c>
      <c r="I222" s="5">
        <v>6</v>
      </c>
      <c r="J222" s="5">
        <v>47924</v>
      </c>
      <c r="K222" s="5" t="s">
        <v>35</v>
      </c>
      <c r="L222" s="5">
        <v>4</v>
      </c>
      <c r="M222" s="5">
        <v>40</v>
      </c>
      <c r="N222" s="5">
        <v>4</v>
      </c>
      <c r="O222" s="5" t="s">
        <v>27</v>
      </c>
      <c r="P222" s="5" t="s">
        <v>27</v>
      </c>
      <c r="Q222" s="5">
        <v>5</v>
      </c>
      <c r="R222" s="5" t="s">
        <v>27</v>
      </c>
      <c r="S222" s="5" t="s">
        <v>27</v>
      </c>
    </row>
    <row r="223" spans="1:19" x14ac:dyDescent="0.35">
      <c r="A223" s="8" t="s">
        <v>503</v>
      </c>
      <c r="B223" s="6" t="s">
        <v>504</v>
      </c>
      <c r="C223" s="6" t="s">
        <v>21</v>
      </c>
      <c r="D223" s="6">
        <v>50</v>
      </c>
      <c r="E223" s="6" t="s">
        <v>38</v>
      </c>
      <c r="F223" s="6" t="s">
        <v>39</v>
      </c>
      <c r="G223" s="6" t="s">
        <v>24</v>
      </c>
      <c r="H223" s="6" t="s">
        <v>70</v>
      </c>
      <c r="I223" s="6">
        <v>14</v>
      </c>
      <c r="J223" s="6">
        <v>66450</v>
      </c>
      <c r="K223" s="6" t="s">
        <v>45</v>
      </c>
      <c r="L223" s="6">
        <v>8</v>
      </c>
      <c r="M223" s="6">
        <v>35</v>
      </c>
      <c r="N223" s="6">
        <v>1</v>
      </c>
      <c r="O223" s="6" t="s">
        <v>27</v>
      </c>
      <c r="P223" s="6" t="s">
        <v>27</v>
      </c>
      <c r="Q223" s="6">
        <v>5</v>
      </c>
      <c r="R223" s="6" t="s">
        <v>28</v>
      </c>
      <c r="S223" s="6" t="s">
        <v>27</v>
      </c>
    </row>
    <row r="224" spans="1:19" x14ac:dyDescent="0.35">
      <c r="A224" s="7" t="s">
        <v>505</v>
      </c>
      <c r="B224" s="5" t="s">
        <v>506</v>
      </c>
      <c r="C224" s="5" t="s">
        <v>21</v>
      </c>
      <c r="D224" s="5">
        <v>30</v>
      </c>
      <c r="E224" s="5" t="s">
        <v>55</v>
      </c>
      <c r="F224" s="5" t="s">
        <v>64</v>
      </c>
      <c r="G224" s="5" t="s">
        <v>24</v>
      </c>
      <c r="H224" s="5" t="s">
        <v>70</v>
      </c>
      <c r="I224" s="5">
        <v>7</v>
      </c>
      <c r="J224" s="5">
        <v>69756</v>
      </c>
      <c r="K224" s="5" t="s">
        <v>26</v>
      </c>
      <c r="L224" s="5">
        <v>5</v>
      </c>
      <c r="M224" s="5">
        <v>38</v>
      </c>
      <c r="N224" s="5">
        <v>5</v>
      </c>
      <c r="O224" s="5" t="s">
        <v>27</v>
      </c>
      <c r="P224" s="5" t="s">
        <v>28</v>
      </c>
      <c r="Q224" s="5">
        <v>3</v>
      </c>
      <c r="R224" s="5" t="s">
        <v>27</v>
      </c>
      <c r="S224" s="5" t="s">
        <v>27</v>
      </c>
    </row>
    <row r="225" spans="1:19" x14ac:dyDescent="0.35">
      <c r="A225" s="8" t="s">
        <v>507</v>
      </c>
      <c r="B225" s="6" t="s">
        <v>508</v>
      </c>
      <c r="C225" s="6" t="s">
        <v>21</v>
      </c>
      <c r="D225" s="6">
        <v>33</v>
      </c>
      <c r="E225" s="6" t="s">
        <v>55</v>
      </c>
      <c r="F225" s="6" t="s">
        <v>33</v>
      </c>
      <c r="G225" s="6" t="s">
        <v>24</v>
      </c>
      <c r="H225" s="6" t="s">
        <v>61</v>
      </c>
      <c r="I225" s="6">
        <v>8</v>
      </c>
      <c r="J225" s="6">
        <v>54979</v>
      </c>
      <c r="K225" s="6" t="s">
        <v>45</v>
      </c>
      <c r="L225" s="6">
        <v>6</v>
      </c>
      <c r="M225" s="6">
        <v>23</v>
      </c>
      <c r="N225" s="6">
        <v>3</v>
      </c>
      <c r="O225" s="6" t="s">
        <v>27</v>
      </c>
      <c r="P225" s="6" t="s">
        <v>27</v>
      </c>
      <c r="Q225" s="6">
        <v>1</v>
      </c>
      <c r="R225" s="6" t="s">
        <v>28</v>
      </c>
      <c r="S225" s="6" t="s">
        <v>27</v>
      </c>
    </row>
    <row r="226" spans="1:19" x14ac:dyDescent="0.35">
      <c r="A226" s="7" t="s">
        <v>509</v>
      </c>
      <c r="B226" s="5" t="s">
        <v>510</v>
      </c>
      <c r="C226" s="5" t="s">
        <v>31</v>
      </c>
      <c r="D226" s="5">
        <v>49</v>
      </c>
      <c r="E226" s="5" t="s">
        <v>55</v>
      </c>
      <c r="F226" s="5" t="s">
        <v>64</v>
      </c>
      <c r="G226" s="5" t="s">
        <v>24</v>
      </c>
      <c r="H226" s="5" t="s">
        <v>70</v>
      </c>
      <c r="I226" s="5">
        <v>23</v>
      </c>
      <c r="J226" s="5">
        <v>62235</v>
      </c>
      <c r="K226" s="5" t="s">
        <v>45</v>
      </c>
      <c r="L226" s="5">
        <v>6</v>
      </c>
      <c r="M226" s="5">
        <v>37</v>
      </c>
      <c r="N226" s="5">
        <v>5</v>
      </c>
      <c r="O226" s="5" t="s">
        <v>28</v>
      </c>
      <c r="P226" s="5" t="s">
        <v>27</v>
      </c>
      <c r="Q226" s="5">
        <v>1</v>
      </c>
      <c r="R226" s="5" t="s">
        <v>27</v>
      </c>
      <c r="S226" s="5" t="s">
        <v>27</v>
      </c>
    </row>
    <row r="227" spans="1:19" x14ac:dyDescent="0.35">
      <c r="A227" s="8" t="s">
        <v>511</v>
      </c>
      <c r="B227" s="6" t="s">
        <v>512</v>
      </c>
      <c r="C227" s="6" t="s">
        <v>31</v>
      </c>
      <c r="D227" s="6">
        <v>34</v>
      </c>
      <c r="E227" s="6" t="s">
        <v>55</v>
      </c>
      <c r="F227" s="6" t="s">
        <v>48</v>
      </c>
      <c r="G227" s="6" t="s">
        <v>24</v>
      </c>
      <c r="H227" s="6" t="s">
        <v>49</v>
      </c>
      <c r="I227" s="6">
        <v>8</v>
      </c>
      <c r="J227" s="6">
        <v>52132</v>
      </c>
      <c r="K227" s="6" t="s">
        <v>45</v>
      </c>
      <c r="L227" s="6">
        <v>9</v>
      </c>
      <c r="M227" s="6">
        <v>45</v>
      </c>
      <c r="N227" s="6">
        <v>4</v>
      </c>
      <c r="O227" s="6" t="s">
        <v>28</v>
      </c>
      <c r="P227" s="6" t="s">
        <v>28</v>
      </c>
      <c r="Q227" s="6">
        <v>3</v>
      </c>
      <c r="R227" s="6" t="s">
        <v>27</v>
      </c>
      <c r="S227" s="6" t="s">
        <v>27</v>
      </c>
    </row>
    <row r="228" spans="1:19" x14ac:dyDescent="0.35">
      <c r="A228" s="7" t="s">
        <v>513</v>
      </c>
      <c r="B228" s="5" t="s">
        <v>514</v>
      </c>
      <c r="C228" s="5" t="s">
        <v>21</v>
      </c>
      <c r="D228" s="5">
        <v>44</v>
      </c>
      <c r="E228" s="5" t="s">
        <v>38</v>
      </c>
      <c r="F228" s="5" t="s">
        <v>43</v>
      </c>
      <c r="G228" s="5" t="s">
        <v>69</v>
      </c>
      <c r="H228" s="5" t="s">
        <v>131</v>
      </c>
      <c r="I228" s="5">
        <v>11</v>
      </c>
      <c r="J228" s="5">
        <v>82000</v>
      </c>
      <c r="K228" s="5" t="s">
        <v>45</v>
      </c>
      <c r="L228" s="5">
        <v>8</v>
      </c>
      <c r="M228" s="5">
        <v>14</v>
      </c>
      <c r="N228" s="5">
        <v>4</v>
      </c>
      <c r="O228" s="5" t="s">
        <v>28</v>
      </c>
      <c r="P228" s="5" t="s">
        <v>28</v>
      </c>
      <c r="Q228" s="5">
        <v>5</v>
      </c>
      <c r="R228" s="5" t="s">
        <v>27</v>
      </c>
      <c r="S228" s="5" t="s">
        <v>27</v>
      </c>
    </row>
    <row r="229" spans="1:19" x14ac:dyDescent="0.35">
      <c r="A229" s="8" t="s">
        <v>515</v>
      </c>
      <c r="B229" s="6" t="s">
        <v>516</v>
      </c>
      <c r="C229" s="6" t="s">
        <v>31</v>
      </c>
      <c r="D229" s="6">
        <v>53</v>
      </c>
      <c r="E229" s="6" t="s">
        <v>38</v>
      </c>
      <c r="F229" s="6" t="s">
        <v>43</v>
      </c>
      <c r="G229" s="6" t="s">
        <v>69</v>
      </c>
      <c r="H229" s="6" t="s">
        <v>61</v>
      </c>
      <c r="I229" s="6">
        <v>13</v>
      </c>
      <c r="J229" s="6">
        <v>64731</v>
      </c>
      <c r="K229" s="6" t="s">
        <v>26</v>
      </c>
      <c r="L229" s="6">
        <v>2</v>
      </c>
      <c r="M229" s="6">
        <v>33</v>
      </c>
      <c r="N229" s="6">
        <v>3</v>
      </c>
      <c r="O229" s="6" t="s">
        <v>27</v>
      </c>
      <c r="P229" s="6" t="s">
        <v>27</v>
      </c>
      <c r="Q229" s="6">
        <v>1</v>
      </c>
      <c r="R229" s="6" t="s">
        <v>28</v>
      </c>
      <c r="S229" s="6" t="s">
        <v>27</v>
      </c>
    </row>
    <row r="230" spans="1:19" x14ac:dyDescent="0.35">
      <c r="A230" s="7" t="s">
        <v>517</v>
      </c>
      <c r="B230" s="5" t="s">
        <v>518</v>
      </c>
      <c r="C230" s="5" t="s">
        <v>21</v>
      </c>
      <c r="D230" s="5">
        <v>26</v>
      </c>
      <c r="E230" s="5" t="s">
        <v>55</v>
      </c>
      <c r="F230" s="5" t="s">
        <v>39</v>
      </c>
      <c r="G230" s="5" t="s">
        <v>24</v>
      </c>
      <c r="H230" s="5" t="s">
        <v>52</v>
      </c>
      <c r="I230" s="5">
        <v>4</v>
      </c>
      <c r="J230" s="5">
        <v>44966</v>
      </c>
      <c r="K230" s="5" t="s">
        <v>45</v>
      </c>
      <c r="L230" s="5">
        <v>4</v>
      </c>
      <c r="M230" s="5">
        <v>60</v>
      </c>
      <c r="N230" s="5">
        <v>6</v>
      </c>
      <c r="O230" s="5" t="s">
        <v>28</v>
      </c>
      <c r="P230" s="5" t="s">
        <v>27</v>
      </c>
      <c r="Q230" s="5">
        <v>5</v>
      </c>
      <c r="R230" s="5" t="s">
        <v>27</v>
      </c>
      <c r="S230" s="5" t="s">
        <v>27</v>
      </c>
    </row>
    <row r="231" spans="1:19" x14ac:dyDescent="0.35">
      <c r="A231" s="8" t="s">
        <v>519</v>
      </c>
      <c r="B231" s="6" t="s">
        <v>520</v>
      </c>
      <c r="C231" s="6" t="s">
        <v>21</v>
      </c>
      <c r="D231" s="6">
        <v>47</v>
      </c>
      <c r="E231" s="6" t="s">
        <v>55</v>
      </c>
      <c r="F231" s="6" t="s">
        <v>60</v>
      </c>
      <c r="G231" s="6" t="s">
        <v>69</v>
      </c>
      <c r="H231" s="6" t="s">
        <v>61</v>
      </c>
      <c r="I231" s="6">
        <v>10</v>
      </c>
      <c r="J231" s="6">
        <v>65525</v>
      </c>
      <c r="K231" s="6" t="s">
        <v>45</v>
      </c>
      <c r="L231" s="6">
        <v>6</v>
      </c>
      <c r="M231" s="6">
        <v>31</v>
      </c>
      <c r="N231" s="6">
        <v>3</v>
      </c>
      <c r="O231" s="6" t="s">
        <v>27</v>
      </c>
      <c r="P231" s="6" t="s">
        <v>28</v>
      </c>
      <c r="Q231" s="6">
        <v>5</v>
      </c>
      <c r="R231" s="6" t="s">
        <v>27</v>
      </c>
      <c r="S231" s="6" t="s">
        <v>27</v>
      </c>
    </row>
    <row r="232" spans="1:19" x14ac:dyDescent="0.35">
      <c r="A232" s="7" t="s">
        <v>521</v>
      </c>
      <c r="B232" s="5" t="s">
        <v>522</v>
      </c>
      <c r="C232" s="5" t="s">
        <v>31</v>
      </c>
      <c r="D232" s="5">
        <v>21</v>
      </c>
      <c r="E232" s="5" t="s">
        <v>38</v>
      </c>
      <c r="F232" s="5" t="s">
        <v>39</v>
      </c>
      <c r="G232" s="5" t="s">
        <v>24</v>
      </c>
      <c r="H232" s="5" t="s">
        <v>52</v>
      </c>
      <c r="I232" s="5">
        <v>0</v>
      </c>
      <c r="J232" s="5">
        <v>48697</v>
      </c>
      <c r="K232" s="5" t="s">
        <v>40</v>
      </c>
      <c r="L232" s="5">
        <v>8</v>
      </c>
      <c r="M232" s="5">
        <v>38</v>
      </c>
      <c r="N232" s="5">
        <v>6</v>
      </c>
      <c r="O232" s="5" t="s">
        <v>27</v>
      </c>
      <c r="P232" s="5" t="s">
        <v>28</v>
      </c>
      <c r="Q232" s="5">
        <v>5</v>
      </c>
      <c r="R232" s="5" t="s">
        <v>27</v>
      </c>
      <c r="S232" s="5" t="s">
        <v>27</v>
      </c>
    </row>
    <row r="233" spans="1:19" x14ac:dyDescent="0.35">
      <c r="A233" s="8" t="s">
        <v>523</v>
      </c>
      <c r="B233" s="6" t="s">
        <v>524</v>
      </c>
      <c r="C233" s="6" t="s">
        <v>21</v>
      </c>
      <c r="D233" s="6">
        <v>43</v>
      </c>
      <c r="E233" s="6" t="s">
        <v>22</v>
      </c>
      <c r="F233" s="6" t="s">
        <v>39</v>
      </c>
      <c r="G233" s="6" t="s">
        <v>24</v>
      </c>
      <c r="H233" s="6" t="s">
        <v>34</v>
      </c>
      <c r="I233" s="6">
        <v>18</v>
      </c>
      <c r="J233" s="6">
        <v>61361</v>
      </c>
      <c r="K233" s="6" t="s">
        <v>45</v>
      </c>
      <c r="L233" s="6">
        <v>4</v>
      </c>
      <c r="M233" s="6">
        <v>41</v>
      </c>
      <c r="N233" s="6">
        <v>4</v>
      </c>
      <c r="O233" s="6" t="s">
        <v>27</v>
      </c>
      <c r="P233" s="6" t="s">
        <v>27</v>
      </c>
      <c r="Q233" s="6">
        <v>3</v>
      </c>
      <c r="R233" s="6" t="s">
        <v>27</v>
      </c>
      <c r="S233" s="6" t="s">
        <v>27</v>
      </c>
    </row>
    <row r="234" spans="1:19" x14ac:dyDescent="0.35">
      <c r="A234" s="7" t="s">
        <v>525</v>
      </c>
      <c r="B234" s="5" t="s">
        <v>526</v>
      </c>
      <c r="C234" s="5" t="s">
        <v>31</v>
      </c>
      <c r="D234" s="5">
        <v>49</v>
      </c>
      <c r="E234" s="5" t="s">
        <v>55</v>
      </c>
      <c r="F234" s="5" t="s">
        <v>43</v>
      </c>
      <c r="G234" s="5" t="s">
        <v>24</v>
      </c>
      <c r="H234" s="5" t="s">
        <v>25</v>
      </c>
      <c r="I234" s="5">
        <v>20</v>
      </c>
      <c r="J234" s="5">
        <v>82000</v>
      </c>
      <c r="K234" s="5" t="s">
        <v>26</v>
      </c>
      <c r="L234" s="5">
        <v>1</v>
      </c>
      <c r="M234" s="5">
        <v>26</v>
      </c>
      <c r="N234" s="5">
        <v>3</v>
      </c>
      <c r="O234" s="5" t="s">
        <v>28</v>
      </c>
      <c r="P234" s="5" t="s">
        <v>28</v>
      </c>
      <c r="Q234" s="5">
        <v>5</v>
      </c>
      <c r="R234" s="5" t="s">
        <v>28</v>
      </c>
      <c r="S234" s="5" t="s">
        <v>27</v>
      </c>
    </row>
    <row r="235" spans="1:19" x14ac:dyDescent="0.35">
      <c r="A235" s="8" t="s">
        <v>527</v>
      </c>
      <c r="B235" s="6" t="s">
        <v>528</v>
      </c>
      <c r="C235" s="6" t="s">
        <v>21</v>
      </c>
      <c r="D235" s="6">
        <v>45</v>
      </c>
      <c r="E235" s="6" t="s">
        <v>55</v>
      </c>
      <c r="F235" s="6" t="s">
        <v>33</v>
      </c>
      <c r="G235" s="6" t="s">
        <v>24</v>
      </c>
      <c r="H235" s="6" t="s">
        <v>34</v>
      </c>
      <c r="I235" s="6">
        <v>15</v>
      </c>
      <c r="J235" s="6">
        <v>58388</v>
      </c>
      <c r="K235" s="6" t="s">
        <v>45</v>
      </c>
      <c r="L235" s="6">
        <v>10</v>
      </c>
      <c r="M235" s="6">
        <v>16</v>
      </c>
      <c r="N235" s="6">
        <v>4</v>
      </c>
      <c r="O235" s="6" t="s">
        <v>27</v>
      </c>
      <c r="P235" s="6" t="s">
        <v>28</v>
      </c>
      <c r="Q235" s="6">
        <v>4</v>
      </c>
      <c r="R235" s="6" t="s">
        <v>27</v>
      </c>
      <c r="S235" s="6" t="s">
        <v>27</v>
      </c>
    </row>
    <row r="236" spans="1:19" x14ac:dyDescent="0.35">
      <c r="A236" s="7" t="s">
        <v>529</v>
      </c>
      <c r="B236" s="5" t="s">
        <v>530</v>
      </c>
      <c r="C236" s="5" t="s">
        <v>31</v>
      </c>
      <c r="D236" s="5">
        <v>27</v>
      </c>
      <c r="E236" s="5" t="s">
        <v>38</v>
      </c>
      <c r="F236" s="5" t="s">
        <v>48</v>
      </c>
      <c r="G236" s="5" t="s">
        <v>69</v>
      </c>
      <c r="H236" s="5" t="s">
        <v>131</v>
      </c>
      <c r="I236" s="5">
        <v>4</v>
      </c>
      <c r="J236" s="5">
        <v>44443</v>
      </c>
      <c r="K236" s="5" t="s">
        <v>35</v>
      </c>
      <c r="L236" s="5">
        <v>10</v>
      </c>
      <c r="M236" s="5">
        <v>39</v>
      </c>
      <c r="N236" s="5">
        <v>5</v>
      </c>
      <c r="O236" s="5" t="s">
        <v>28</v>
      </c>
      <c r="P236" s="5" t="s">
        <v>28</v>
      </c>
      <c r="Q236" s="5">
        <v>5</v>
      </c>
      <c r="R236" s="5" t="s">
        <v>28</v>
      </c>
      <c r="S236" s="5" t="s">
        <v>27</v>
      </c>
    </row>
    <row r="237" spans="1:19" x14ac:dyDescent="0.35">
      <c r="A237" s="8" t="s">
        <v>531</v>
      </c>
      <c r="B237" s="6" t="s">
        <v>532</v>
      </c>
      <c r="C237" s="6" t="s">
        <v>21</v>
      </c>
      <c r="D237" s="6">
        <v>29</v>
      </c>
      <c r="E237" s="6" t="s">
        <v>55</v>
      </c>
      <c r="F237" s="6" t="s">
        <v>33</v>
      </c>
      <c r="G237" s="6" t="s">
        <v>24</v>
      </c>
      <c r="H237" s="6" t="s">
        <v>70</v>
      </c>
      <c r="I237" s="6">
        <v>4</v>
      </c>
      <c r="J237" s="6">
        <v>57680</v>
      </c>
      <c r="K237" s="6" t="s">
        <v>26</v>
      </c>
      <c r="L237" s="6">
        <v>5</v>
      </c>
      <c r="M237" s="6">
        <v>39</v>
      </c>
      <c r="N237" s="6">
        <v>5</v>
      </c>
      <c r="O237" s="6" t="s">
        <v>28</v>
      </c>
      <c r="P237" s="6" t="s">
        <v>28</v>
      </c>
      <c r="Q237" s="6">
        <v>3</v>
      </c>
      <c r="R237" s="6" t="s">
        <v>28</v>
      </c>
      <c r="S237" s="6" t="s">
        <v>27</v>
      </c>
    </row>
    <row r="238" spans="1:19" x14ac:dyDescent="0.35">
      <c r="A238" s="7" t="s">
        <v>533</v>
      </c>
      <c r="B238" s="5" t="s">
        <v>534</v>
      </c>
      <c r="C238" s="5" t="s">
        <v>31</v>
      </c>
      <c r="D238" s="5">
        <v>25</v>
      </c>
      <c r="E238" s="5" t="s">
        <v>22</v>
      </c>
      <c r="F238" s="5" t="s">
        <v>43</v>
      </c>
      <c r="G238" s="5" t="s">
        <v>69</v>
      </c>
      <c r="H238" s="5" t="s">
        <v>34</v>
      </c>
      <c r="I238" s="5">
        <v>2</v>
      </c>
      <c r="J238" s="5">
        <v>61455</v>
      </c>
      <c r="K238" s="5" t="s">
        <v>45</v>
      </c>
      <c r="L238" s="5">
        <v>6</v>
      </c>
      <c r="M238" s="5">
        <v>36</v>
      </c>
      <c r="N238" s="5">
        <v>2</v>
      </c>
      <c r="O238" s="5" t="s">
        <v>27</v>
      </c>
      <c r="P238" s="5" t="s">
        <v>28</v>
      </c>
      <c r="Q238" s="5">
        <v>3</v>
      </c>
      <c r="R238" s="5" t="s">
        <v>27</v>
      </c>
      <c r="S238" s="5" t="s">
        <v>27</v>
      </c>
    </row>
    <row r="239" spans="1:19" x14ac:dyDescent="0.35">
      <c r="A239" s="8" t="s">
        <v>535</v>
      </c>
      <c r="B239" s="6" t="s">
        <v>536</v>
      </c>
      <c r="C239" s="6" t="s">
        <v>31</v>
      </c>
      <c r="D239" s="6">
        <v>26</v>
      </c>
      <c r="E239" s="6" t="s">
        <v>55</v>
      </c>
      <c r="F239" s="6" t="s">
        <v>33</v>
      </c>
      <c r="G239" s="6" t="s">
        <v>24</v>
      </c>
      <c r="H239" s="6" t="s">
        <v>52</v>
      </c>
      <c r="I239" s="6">
        <v>3</v>
      </c>
      <c r="J239" s="6">
        <v>54134</v>
      </c>
      <c r="K239" s="6" t="s">
        <v>45</v>
      </c>
      <c r="L239" s="6">
        <v>2</v>
      </c>
      <c r="M239" s="6">
        <v>22</v>
      </c>
      <c r="N239" s="6">
        <v>6</v>
      </c>
      <c r="O239" s="6" t="s">
        <v>27</v>
      </c>
      <c r="P239" s="6" t="s">
        <v>28</v>
      </c>
      <c r="Q239" s="6">
        <v>5</v>
      </c>
      <c r="R239" s="6" t="s">
        <v>27</v>
      </c>
      <c r="S239" s="6" t="s">
        <v>28</v>
      </c>
    </row>
    <row r="240" spans="1:19" x14ac:dyDescent="0.35">
      <c r="A240" s="7" t="s">
        <v>537</v>
      </c>
      <c r="B240" s="5" t="s">
        <v>538</v>
      </c>
      <c r="C240" s="5" t="s">
        <v>31</v>
      </c>
      <c r="D240" s="5">
        <v>21</v>
      </c>
      <c r="E240" s="5" t="s">
        <v>55</v>
      </c>
      <c r="F240" s="5" t="s">
        <v>33</v>
      </c>
      <c r="G240" s="5" t="s">
        <v>69</v>
      </c>
      <c r="H240" s="5" t="s">
        <v>52</v>
      </c>
      <c r="I240" s="5">
        <v>0</v>
      </c>
      <c r="J240" s="5">
        <v>42090</v>
      </c>
      <c r="K240" s="5" t="s">
        <v>45</v>
      </c>
      <c r="L240" s="5">
        <v>1</v>
      </c>
      <c r="M240" s="5">
        <v>17</v>
      </c>
      <c r="N240" s="5">
        <v>7</v>
      </c>
      <c r="O240" s="5" t="s">
        <v>27</v>
      </c>
      <c r="P240" s="5" t="s">
        <v>28</v>
      </c>
      <c r="Q240" s="5">
        <v>3</v>
      </c>
      <c r="R240" s="5" t="s">
        <v>28</v>
      </c>
      <c r="S240" s="5" t="s">
        <v>27</v>
      </c>
    </row>
    <row r="241" spans="1:19" x14ac:dyDescent="0.35">
      <c r="A241" s="8" t="s">
        <v>539</v>
      </c>
      <c r="B241" s="6" t="s">
        <v>540</v>
      </c>
      <c r="C241" s="6" t="s">
        <v>21</v>
      </c>
      <c r="D241" s="6">
        <v>31</v>
      </c>
      <c r="E241" s="6" t="s">
        <v>55</v>
      </c>
      <c r="F241" s="6" t="s">
        <v>33</v>
      </c>
      <c r="G241" s="6" t="s">
        <v>69</v>
      </c>
      <c r="H241" s="6" t="s">
        <v>61</v>
      </c>
      <c r="I241" s="6">
        <v>8</v>
      </c>
      <c r="J241" s="6">
        <v>55844</v>
      </c>
      <c r="K241" s="6" t="s">
        <v>35</v>
      </c>
      <c r="L241" s="6">
        <v>6</v>
      </c>
      <c r="M241" s="6">
        <v>42</v>
      </c>
      <c r="N241" s="6">
        <v>7</v>
      </c>
      <c r="O241" s="6" t="s">
        <v>28</v>
      </c>
      <c r="P241" s="6" t="s">
        <v>28</v>
      </c>
      <c r="Q241" s="6">
        <v>5</v>
      </c>
      <c r="R241" s="6" t="s">
        <v>27</v>
      </c>
      <c r="S241" s="6" t="s">
        <v>27</v>
      </c>
    </row>
    <row r="242" spans="1:19" x14ac:dyDescent="0.35">
      <c r="A242" s="7" t="s">
        <v>541</v>
      </c>
      <c r="B242" s="5" t="s">
        <v>542</v>
      </c>
      <c r="C242" s="5" t="s">
        <v>31</v>
      </c>
      <c r="D242" s="5">
        <v>37</v>
      </c>
      <c r="E242" s="5" t="s">
        <v>38</v>
      </c>
      <c r="F242" s="5" t="s">
        <v>33</v>
      </c>
      <c r="G242" s="5" t="s">
        <v>24</v>
      </c>
      <c r="H242" s="5" t="s">
        <v>70</v>
      </c>
      <c r="I242" s="5">
        <v>6</v>
      </c>
      <c r="J242" s="5">
        <v>58728</v>
      </c>
      <c r="K242" s="5" t="s">
        <v>26</v>
      </c>
      <c r="L242" s="5">
        <v>5</v>
      </c>
      <c r="M242" s="5">
        <v>12</v>
      </c>
      <c r="N242" s="5">
        <v>6</v>
      </c>
      <c r="O242" s="5" t="s">
        <v>27</v>
      </c>
      <c r="P242" s="5" t="s">
        <v>28</v>
      </c>
      <c r="Q242" s="5">
        <v>1</v>
      </c>
      <c r="R242" s="5" t="s">
        <v>27</v>
      </c>
      <c r="S242" s="5" t="s">
        <v>27</v>
      </c>
    </row>
    <row r="243" spans="1:19" x14ac:dyDescent="0.35">
      <c r="A243" s="8" t="s">
        <v>543</v>
      </c>
      <c r="B243" s="6" t="s">
        <v>544</v>
      </c>
      <c r="C243" s="6" t="s">
        <v>31</v>
      </c>
      <c r="D243" s="6">
        <v>44</v>
      </c>
      <c r="E243" s="6" t="s">
        <v>38</v>
      </c>
      <c r="F243" s="6" t="s">
        <v>39</v>
      </c>
      <c r="G243" s="6" t="s">
        <v>24</v>
      </c>
      <c r="H243" s="6" t="s">
        <v>25</v>
      </c>
      <c r="I243" s="6">
        <v>16</v>
      </c>
      <c r="J243" s="6">
        <v>58141</v>
      </c>
      <c r="K243" s="6" t="s">
        <v>45</v>
      </c>
      <c r="L243" s="6">
        <v>6</v>
      </c>
      <c r="M243" s="6">
        <v>38</v>
      </c>
      <c r="N243" s="6">
        <v>4</v>
      </c>
      <c r="O243" s="6" t="s">
        <v>27</v>
      </c>
      <c r="P243" s="6" t="s">
        <v>28</v>
      </c>
      <c r="Q243" s="6">
        <v>3</v>
      </c>
      <c r="R243" s="6" t="s">
        <v>28</v>
      </c>
      <c r="S243" s="6" t="s">
        <v>27</v>
      </c>
    </row>
    <row r="244" spans="1:19" x14ac:dyDescent="0.35">
      <c r="A244" s="7" t="s">
        <v>545</v>
      </c>
      <c r="B244" s="5" t="s">
        <v>546</v>
      </c>
      <c r="C244" s="5" t="s">
        <v>31</v>
      </c>
      <c r="D244" s="5">
        <v>27</v>
      </c>
      <c r="E244" s="5" t="s">
        <v>38</v>
      </c>
      <c r="F244" s="5" t="s">
        <v>64</v>
      </c>
      <c r="G244" s="5" t="s">
        <v>69</v>
      </c>
      <c r="H244" s="5" t="s">
        <v>49</v>
      </c>
      <c r="I244" s="5">
        <v>4</v>
      </c>
      <c r="J244" s="5">
        <v>57462</v>
      </c>
      <c r="K244" s="5" t="s">
        <v>26</v>
      </c>
      <c r="L244" s="5">
        <v>3</v>
      </c>
      <c r="M244" s="5">
        <v>36</v>
      </c>
      <c r="N244" s="5">
        <v>3</v>
      </c>
      <c r="O244" s="5" t="s">
        <v>27</v>
      </c>
      <c r="P244" s="5" t="s">
        <v>28</v>
      </c>
      <c r="Q244" s="5">
        <v>1</v>
      </c>
      <c r="R244" s="5" t="s">
        <v>27</v>
      </c>
      <c r="S244" s="5" t="s">
        <v>27</v>
      </c>
    </row>
    <row r="245" spans="1:19" x14ac:dyDescent="0.35">
      <c r="A245" s="8" t="s">
        <v>547</v>
      </c>
      <c r="B245" s="6" t="s">
        <v>548</v>
      </c>
      <c r="C245" s="6" t="s">
        <v>21</v>
      </c>
      <c r="D245" s="6">
        <v>43</v>
      </c>
      <c r="E245" s="6" t="s">
        <v>55</v>
      </c>
      <c r="F245" s="6" t="s">
        <v>64</v>
      </c>
      <c r="G245" s="6" t="s">
        <v>24</v>
      </c>
      <c r="H245" s="6" t="s">
        <v>70</v>
      </c>
      <c r="I245" s="6">
        <v>14</v>
      </c>
      <c r="J245" s="6">
        <v>75261</v>
      </c>
      <c r="K245" s="6" t="s">
        <v>45</v>
      </c>
      <c r="L245" s="6">
        <v>6</v>
      </c>
      <c r="M245" s="6">
        <v>34</v>
      </c>
      <c r="N245" s="6">
        <v>3</v>
      </c>
      <c r="O245" s="6" t="s">
        <v>28</v>
      </c>
      <c r="P245" s="6" t="s">
        <v>28</v>
      </c>
      <c r="Q245" s="6">
        <v>2</v>
      </c>
      <c r="R245" s="6" t="s">
        <v>28</v>
      </c>
      <c r="S245" s="6" t="s">
        <v>27</v>
      </c>
    </row>
    <row r="246" spans="1:19" x14ac:dyDescent="0.35">
      <c r="A246" s="7" t="s">
        <v>549</v>
      </c>
      <c r="B246" s="5" t="s">
        <v>550</v>
      </c>
      <c r="C246" s="5" t="s">
        <v>31</v>
      </c>
      <c r="D246" s="5">
        <v>44</v>
      </c>
      <c r="E246" s="5" t="s">
        <v>38</v>
      </c>
      <c r="F246" s="5" t="s">
        <v>23</v>
      </c>
      <c r="G246" s="5" t="s">
        <v>24</v>
      </c>
      <c r="H246" s="5" t="s">
        <v>49</v>
      </c>
      <c r="I246" s="5">
        <v>9</v>
      </c>
      <c r="J246" s="5">
        <v>73355</v>
      </c>
      <c r="K246" s="5" t="s">
        <v>45</v>
      </c>
      <c r="L246" s="5">
        <v>10</v>
      </c>
      <c r="M246" s="5">
        <v>27</v>
      </c>
      <c r="N246" s="5">
        <v>5</v>
      </c>
      <c r="O246" s="5" t="s">
        <v>27</v>
      </c>
      <c r="P246" s="5" t="s">
        <v>28</v>
      </c>
      <c r="Q246" s="5">
        <v>3</v>
      </c>
      <c r="R246" s="5" t="s">
        <v>27</v>
      </c>
      <c r="S246" s="5" t="s">
        <v>27</v>
      </c>
    </row>
    <row r="247" spans="1:19" x14ac:dyDescent="0.35">
      <c r="A247" s="8" t="s">
        <v>551</v>
      </c>
      <c r="B247" s="6" t="s">
        <v>552</v>
      </c>
      <c r="C247" s="6" t="s">
        <v>31</v>
      </c>
      <c r="D247" s="6">
        <v>50</v>
      </c>
      <c r="E247" s="6" t="s">
        <v>55</v>
      </c>
      <c r="F247" s="6" t="s">
        <v>48</v>
      </c>
      <c r="G247" s="6" t="s">
        <v>24</v>
      </c>
      <c r="H247" s="6" t="s">
        <v>131</v>
      </c>
      <c r="I247" s="6">
        <v>10</v>
      </c>
      <c r="J247" s="6">
        <v>53112</v>
      </c>
      <c r="K247" s="6" t="s">
        <v>45</v>
      </c>
      <c r="L247" s="6">
        <v>5</v>
      </c>
      <c r="M247" s="6">
        <v>42</v>
      </c>
      <c r="N247" s="6">
        <v>8</v>
      </c>
      <c r="O247" s="6" t="s">
        <v>27</v>
      </c>
      <c r="P247" s="6" t="s">
        <v>27</v>
      </c>
      <c r="Q247" s="6">
        <v>2</v>
      </c>
      <c r="R247" s="6" t="s">
        <v>28</v>
      </c>
      <c r="S247" s="6" t="s">
        <v>28</v>
      </c>
    </row>
    <row r="248" spans="1:19" x14ac:dyDescent="0.35">
      <c r="A248" s="7" t="s">
        <v>553</v>
      </c>
      <c r="B248" s="5" t="s">
        <v>554</v>
      </c>
      <c r="C248" s="5" t="s">
        <v>21</v>
      </c>
      <c r="D248" s="5">
        <v>54</v>
      </c>
      <c r="E248" s="5" t="s">
        <v>55</v>
      </c>
      <c r="F248" s="5" t="s">
        <v>33</v>
      </c>
      <c r="G248" s="5" t="s">
        <v>24</v>
      </c>
      <c r="H248" s="5" t="s">
        <v>25</v>
      </c>
      <c r="I248" s="5">
        <v>23</v>
      </c>
      <c r="J248" s="5">
        <v>61204</v>
      </c>
      <c r="K248" s="5" t="s">
        <v>45</v>
      </c>
      <c r="L248" s="5">
        <v>3</v>
      </c>
      <c r="M248" s="5">
        <v>25</v>
      </c>
      <c r="N248" s="5">
        <v>2</v>
      </c>
      <c r="O248" s="5" t="s">
        <v>27</v>
      </c>
      <c r="P248" s="5" t="s">
        <v>28</v>
      </c>
      <c r="Q248" s="5">
        <v>1</v>
      </c>
      <c r="R248" s="5" t="s">
        <v>28</v>
      </c>
      <c r="S248" s="5" t="s">
        <v>27</v>
      </c>
    </row>
    <row r="249" spans="1:19" x14ac:dyDescent="0.35">
      <c r="A249" s="8" t="s">
        <v>555</v>
      </c>
      <c r="B249" s="6" t="s">
        <v>556</v>
      </c>
      <c r="C249" s="6" t="s">
        <v>21</v>
      </c>
      <c r="D249" s="6">
        <v>48</v>
      </c>
      <c r="E249" s="6" t="s">
        <v>55</v>
      </c>
      <c r="F249" s="6" t="s">
        <v>33</v>
      </c>
      <c r="G249" s="6" t="s">
        <v>24</v>
      </c>
      <c r="H249" s="6" t="s">
        <v>25</v>
      </c>
      <c r="I249" s="6">
        <v>21</v>
      </c>
      <c r="J249" s="6">
        <v>79354</v>
      </c>
      <c r="K249" s="6" t="s">
        <v>45</v>
      </c>
      <c r="L249" s="6">
        <v>2</v>
      </c>
      <c r="M249" s="6">
        <v>32</v>
      </c>
      <c r="N249" s="6">
        <v>7</v>
      </c>
      <c r="O249" s="6" t="s">
        <v>28</v>
      </c>
      <c r="P249" s="6" t="s">
        <v>28</v>
      </c>
      <c r="Q249" s="6">
        <v>2</v>
      </c>
      <c r="R249" s="6" t="s">
        <v>27</v>
      </c>
      <c r="S249" s="6" t="s">
        <v>27</v>
      </c>
    </row>
    <row r="250" spans="1:19" x14ac:dyDescent="0.35">
      <c r="A250" s="7" t="s">
        <v>557</v>
      </c>
      <c r="B250" s="5" t="s">
        <v>558</v>
      </c>
      <c r="C250" s="5" t="s">
        <v>31</v>
      </c>
      <c r="D250" s="5">
        <v>28</v>
      </c>
      <c r="E250" s="5" t="s">
        <v>38</v>
      </c>
      <c r="F250" s="5" t="s">
        <v>23</v>
      </c>
      <c r="G250" s="5" t="s">
        <v>24</v>
      </c>
      <c r="H250" s="5" t="s">
        <v>25</v>
      </c>
      <c r="I250" s="5">
        <v>6</v>
      </c>
      <c r="J250" s="5">
        <v>56421</v>
      </c>
      <c r="K250" s="5" t="s">
        <v>35</v>
      </c>
      <c r="L250" s="5">
        <v>6</v>
      </c>
      <c r="M250" s="5">
        <v>52</v>
      </c>
      <c r="N250" s="5">
        <v>1</v>
      </c>
      <c r="O250" s="5" t="s">
        <v>28</v>
      </c>
      <c r="P250" s="5" t="s">
        <v>28</v>
      </c>
      <c r="Q250" s="5">
        <v>4</v>
      </c>
      <c r="R250" s="5" t="s">
        <v>27</v>
      </c>
      <c r="S250" s="5" t="s">
        <v>27</v>
      </c>
    </row>
    <row r="251" spans="1:19" x14ac:dyDescent="0.35">
      <c r="A251" s="8" t="s">
        <v>559</v>
      </c>
      <c r="B251" s="6" t="s">
        <v>560</v>
      </c>
      <c r="C251" s="6" t="s">
        <v>31</v>
      </c>
      <c r="D251" s="6">
        <v>27</v>
      </c>
      <c r="E251" s="6" t="s">
        <v>55</v>
      </c>
      <c r="F251" s="6" t="s">
        <v>64</v>
      </c>
      <c r="G251" s="6" t="s">
        <v>24</v>
      </c>
      <c r="H251" s="6" t="s">
        <v>52</v>
      </c>
      <c r="I251" s="6">
        <v>4</v>
      </c>
      <c r="J251" s="6">
        <v>57062</v>
      </c>
      <c r="K251" s="6" t="s">
        <v>35</v>
      </c>
      <c r="L251" s="6">
        <v>3</v>
      </c>
      <c r="M251" s="6">
        <v>28</v>
      </c>
      <c r="N251" s="6">
        <v>4</v>
      </c>
      <c r="O251" s="6" t="s">
        <v>28</v>
      </c>
      <c r="P251" s="6" t="s">
        <v>28</v>
      </c>
      <c r="Q251" s="6">
        <v>2</v>
      </c>
      <c r="R251" s="6" t="s">
        <v>28</v>
      </c>
      <c r="S251" s="6" t="s">
        <v>27</v>
      </c>
    </row>
    <row r="252" spans="1:19" x14ac:dyDescent="0.35">
      <c r="A252" s="7" t="s">
        <v>561</v>
      </c>
      <c r="B252" s="5" t="s">
        <v>562</v>
      </c>
      <c r="C252" s="5" t="s">
        <v>21</v>
      </c>
      <c r="D252" s="5">
        <v>55</v>
      </c>
      <c r="E252" s="5" t="s">
        <v>22</v>
      </c>
      <c r="F252" s="5" t="s">
        <v>23</v>
      </c>
      <c r="G252" s="5" t="s">
        <v>24</v>
      </c>
      <c r="H252" s="5" t="s">
        <v>52</v>
      </c>
      <c r="I252" s="5">
        <v>24</v>
      </c>
      <c r="J252" s="5">
        <v>68415</v>
      </c>
      <c r="K252" s="5" t="s">
        <v>45</v>
      </c>
      <c r="L252" s="5">
        <v>8</v>
      </c>
      <c r="M252" s="5">
        <v>50</v>
      </c>
      <c r="N252" s="5">
        <v>2</v>
      </c>
      <c r="O252" s="5" t="s">
        <v>27</v>
      </c>
      <c r="P252" s="5" t="s">
        <v>27</v>
      </c>
      <c r="Q252" s="5">
        <v>2</v>
      </c>
      <c r="R252" s="5" t="s">
        <v>27</v>
      </c>
      <c r="S252" s="5" t="s">
        <v>27</v>
      </c>
    </row>
    <row r="253" spans="1:19" x14ac:dyDescent="0.35">
      <c r="A253" s="8" t="s">
        <v>563</v>
      </c>
      <c r="B253" s="6" t="s">
        <v>564</v>
      </c>
      <c r="C253" s="6" t="s">
        <v>21</v>
      </c>
      <c r="D253" s="6">
        <v>46</v>
      </c>
      <c r="E253" s="6" t="s">
        <v>55</v>
      </c>
      <c r="F253" s="6" t="s">
        <v>48</v>
      </c>
      <c r="G253" s="6" t="s">
        <v>24</v>
      </c>
      <c r="H253" s="6" t="s">
        <v>34</v>
      </c>
      <c r="I253" s="6">
        <v>20</v>
      </c>
      <c r="J253" s="6">
        <v>63485</v>
      </c>
      <c r="K253" s="6" t="s">
        <v>45</v>
      </c>
      <c r="L253" s="6">
        <v>4</v>
      </c>
      <c r="M253" s="6">
        <v>53</v>
      </c>
      <c r="N253" s="6">
        <v>2</v>
      </c>
      <c r="O253" s="6" t="s">
        <v>28</v>
      </c>
      <c r="P253" s="6" t="s">
        <v>28</v>
      </c>
      <c r="Q253" s="6">
        <v>5</v>
      </c>
      <c r="R253" s="6" t="s">
        <v>27</v>
      </c>
      <c r="S253" s="6" t="s">
        <v>27</v>
      </c>
    </row>
    <row r="254" spans="1:19" x14ac:dyDescent="0.35">
      <c r="A254" s="7" t="s">
        <v>565</v>
      </c>
      <c r="B254" s="5" t="s">
        <v>566</v>
      </c>
      <c r="C254" s="5" t="s">
        <v>31</v>
      </c>
      <c r="D254" s="5">
        <v>55</v>
      </c>
      <c r="E254" s="5" t="s">
        <v>55</v>
      </c>
      <c r="F254" s="5" t="s">
        <v>23</v>
      </c>
      <c r="G254" s="5" t="s">
        <v>24</v>
      </c>
      <c r="H254" s="5" t="s">
        <v>25</v>
      </c>
      <c r="I254" s="5">
        <v>18</v>
      </c>
      <c r="J254" s="5">
        <v>80889</v>
      </c>
      <c r="K254" s="5" t="s">
        <v>26</v>
      </c>
      <c r="L254" s="5">
        <v>4</v>
      </c>
      <c r="M254" s="5">
        <v>11</v>
      </c>
      <c r="N254" s="5">
        <v>2</v>
      </c>
      <c r="O254" s="5" t="s">
        <v>28</v>
      </c>
      <c r="P254" s="5" t="s">
        <v>28</v>
      </c>
      <c r="Q254" s="5">
        <v>5</v>
      </c>
      <c r="R254" s="5" t="s">
        <v>27</v>
      </c>
      <c r="S254" s="5" t="s">
        <v>27</v>
      </c>
    </row>
    <row r="255" spans="1:19" x14ac:dyDescent="0.35">
      <c r="A255" s="8" t="s">
        <v>567</v>
      </c>
      <c r="B255" s="6" t="s">
        <v>568</v>
      </c>
      <c r="C255" s="6" t="s">
        <v>31</v>
      </c>
      <c r="D255" s="6">
        <v>42</v>
      </c>
      <c r="E255" s="6" t="s">
        <v>22</v>
      </c>
      <c r="F255" s="6" t="s">
        <v>64</v>
      </c>
      <c r="G255" s="6" t="s">
        <v>69</v>
      </c>
      <c r="H255" s="6" t="s">
        <v>70</v>
      </c>
      <c r="I255" s="6">
        <v>18</v>
      </c>
      <c r="J255" s="6">
        <v>58686</v>
      </c>
      <c r="K255" s="6" t="s">
        <v>40</v>
      </c>
      <c r="L255" s="6">
        <v>10</v>
      </c>
      <c r="M255" s="6">
        <v>31</v>
      </c>
      <c r="N255" s="6">
        <v>5</v>
      </c>
      <c r="O255" s="6" t="s">
        <v>28</v>
      </c>
      <c r="P255" s="6" t="s">
        <v>28</v>
      </c>
      <c r="Q255" s="6">
        <v>3</v>
      </c>
      <c r="R255" s="6" t="s">
        <v>27</v>
      </c>
      <c r="S255" s="6" t="s">
        <v>28</v>
      </c>
    </row>
    <row r="256" spans="1:19" x14ac:dyDescent="0.35">
      <c r="A256" s="7" t="s">
        <v>569</v>
      </c>
      <c r="B256" s="5" t="s">
        <v>570</v>
      </c>
      <c r="C256" s="5" t="s">
        <v>31</v>
      </c>
      <c r="D256" s="5">
        <v>39</v>
      </c>
      <c r="E256" s="5" t="s">
        <v>32</v>
      </c>
      <c r="F256" s="5" t="s">
        <v>43</v>
      </c>
      <c r="G256" s="5" t="s">
        <v>24</v>
      </c>
      <c r="H256" s="5" t="s">
        <v>70</v>
      </c>
      <c r="I256" s="5">
        <v>12</v>
      </c>
      <c r="J256" s="5">
        <v>69733</v>
      </c>
      <c r="K256" s="5" t="s">
        <v>26</v>
      </c>
      <c r="L256" s="5">
        <v>8</v>
      </c>
      <c r="M256" s="5">
        <v>37</v>
      </c>
      <c r="N256" s="5">
        <v>5</v>
      </c>
      <c r="O256" s="5" t="s">
        <v>27</v>
      </c>
      <c r="P256" s="5" t="s">
        <v>28</v>
      </c>
      <c r="Q256" s="5">
        <v>2</v>
      </c>
      <c r="R256" s="5" t="s">
        <v>27</v>
      </c>
      <c r="S256" s="5" t="s">
        <v>27</v>
      </c>
    </row>
    <row r="257" spans="1:19" x14ac:dyDescent="0.35">
      <c r="A257" s="8" t="s">
        <v>571</v>
      </c>
      <c r="B257" s="6" t="s">
        <v>572</v>
      </c>
      <c r="C257" s="6" t="s">
        <v>21</v>
      </c>
      <c r="D257" s="6">
        <v>51</v>
      </c>
      <c r="E257" s="6" t="s">
        <v>22</v>
      </c>
      <c r="F257" s="6" t="s">
        <v>573</v>
      </c>
      <c r="G257" s="6" t="s">
        <v>24</v>
      </c>
      <c r="H257" s="6" t="s">
        <v>34</v>
      </c>
      <c r="I257" s="6">
        <v>14</v>
      </c>
      <c r="J257" s="6">
        <v>68779</v>
      </c>
      <c r="K257" s="6" t="s">
        <v>35</v>
      </c>
      <c r="L257" s="6">
        <v>3</v>
      </c>
      <c r="M257" s="6">
        <v>40</v>
      </c>
      <c r="N257" s="6">
        <v>1</v>
      </c>
      <c r="O257" s="6" t="s">
        <v>27</v>
      </c>
      <c r="P257" s="6" t="s">
        <v>27</v>
      </c>
      <c r="Q257" s="6">
        <v>3</v>
      </c>
      <c r="R257" s="6" t="s">
        <v>27</v>
      </c>
      <c r="S257" s="6" t="s">
        <v>27</v>
      </c>
    </row>
    <row r="258" spans="1:19" x14ac:dyDescent="0.35">
      <c r="A258" s="7" t="s">
        <v>574</v>
      </c>
      <c r="B258" s="5" t="s">
        <v>575</v>
      </c>
      <c r="C258" s="5" t="s">
        <v>21</v>
      </c>
      <c r="D258" s="5">
        <v>46</v>
      </c>
      <c r="E258" s="5" t="s">
        <v>55</v>
      </c>
      <c r="F258" s="5" t="s">
        <v>64</v>
      </c>
      <c r="G258" s="5" t="s">
        <v>24</v>
      </c>
      <c r="H258" s="5" t="s">
        <v>131</v>
      </c>
      <c r="I258" s="5">
        <v>12</v>
      </c>
      <c r="J258" s="5">
        <v>58532</v>
      </c>
      <c r="K258" s="5" t="s">
        <v>35</v>
      </c>
      <c r="L258" s="5">
        <v>4</v>
      </c>
      <c r="M258" s="5">
        <v>23</v>
      </c>
      <c r="N258" s="5">
        <v>6</v>
      </c>
      <c r="O258" s="5" t="s">
        <v>27</v>
      </c>
      <c r="P258" s="5" t="s">
        <v>28</v>
      </c>
      <c r="Q258" s="5">
        <v>3</v>
      </c>
      <c r="R258" s="5" t="s">
        <v>28</v>
      </c>
      <c r="S258" s="5" t="s">
        <v>27</v>
      </c>
    </row>
    <row r="259" spans="1:19" x14ac:dyDescent="0.35">
      <c r="A259" s="8" t="s">
        <v>576</v>
      </c>
      <c r="B259" s="6" t="s">
        <v>577</v>
      </c>
      <c r="C259" s="6" t="s">
        <v>31</v>
      </c>
      <c r="D259" s="6">
        <v>53</v>
      </c>
      <c r="E259" s="6" t="s">
        <v>38</v>
      </c>
      <c r="F259" s="6" t="s">
        <v>64</v>
      </c>
      <c r="G259" s="6" t="s">
        <v>24</v>
      </c>
      <c r="H259" s="6" t="s">
        <v>61</v>
      </c>
      <c r="I259" s="6">
        <v>23</v>
      </c>
      <c r="J259" s="6">
        <v>76841</v>
      </c>
      <c r="K259" s="6" t="s">
        <v>45</v>
      </c>
      <c r="L259" s="6">
        <v>6</v>
      </c>
      <c r="M259" s="6">
        <v>42</v>
      </c>
      <c r="N259" s="6">
        <v>3</v>
      </c>
      <c r="O259" s="6" t="s">
        <v>28</v>
      </c>
      <c r="P259" s="6" t="s">
        <v>28</v>
      </c>
      <c r="Q259" s="6">
        <v>3</v>
      </c>
      <c r="R259" s="6" t="s">
        <v>27</v>
      </c>
      <c r="S259" s="6" t="s">
        <v>27</v>
      </c>
    </row>
    <row r="260" spans="1:19" x14ac:dyDescent="0.35">
      <c r="A260" s="7" t="s">
        <v>578</v>
      </c>
      <c r="B260" s="5" t="s">
        <v>579</v>
      </c>
      <c r="C260" s="5" t="s">
        <v>21</v>
      </c>
      <c r="D260" s="5">
        <v>52</v>
      </c>
      <c r="E260" s="5" t="s">
        <v>55</v>
      </c>
      <c r="F260" s="5" t="s">
        <v>23</v>
      </c>
      <c r="G260" s="5" t="s">
        <v>24</v>
      </c>
      <c r="H260" s="5" t="s">
        <v>52</v>
      </c>
      <c r="I260" s="5">
        <v>25</v>
      </c>
      <c r="J260" s="5">
        <v>70127</v>
      </c>
      <c r="K260" s="5" t="s">
        <v>40</v>
      </c>
      <c r="L260" s="5">
        <v>7</v>
      </c>
      <c r="M260" s="5">
        <v>0</v>
      </c>
      <c r="N260" s="5">
        <v>2</v>
      </c>
      <c r="O260" s="5" t="s">
        <v>27</v>
      </c>
      <c r="P260" s="5" t="s">
        <v>27</v>
      </c>
      <c r="Q260" s="5">
        <v>3</v>
      </c>
      <c r="R260" s="5" t="s">
        <v>27</v>
      </c>
      <c r="S260" s="5" t="s">
        <v>27</v>
      </c>
    </row>
    <row r="261" spans="1:19" x14ac:dyDescent="0.35">
      <c r="A261" s="8" t="s">
        <v>580</v>
      </c>
      <c r="B261" s="6" t="s">
        <v>581</v>
      </c>
      <c r="C261" s="6" t="s">
        <v>21</v>
      </c>
      <c r="D261" s="6">
        <v>22</v>
      </c>
      <c r="E261" s="6" t="s">
        <v>55</v>
      </c>
      <c r="F261" s="6" t="s">
        <v>48</v>
      </c>
      <c r="G261" s="6" t="s">
        <v>24</v>
      </c>
      <c r="H261" s="6" t="s">
        <v>25</v>
      </c>
      <c r="I261" s="6">
        <v>1</v>
      </c>
      <c r="J261" s="6">
        <v>47379</v>
      </c>
      <c r="K261" s="6" t="s">
        <v>40</v>
      </c>
      <c r="L261" s="6">
        <v>5</v>
      </c>
      <c r="M261" s="6">
        <v>60</v>
      </c>
      <c r="N261" s="6">
        <v>2</v>
      </c>
      <c r="O261" s="6" t="s">
        <v>28</v>
      </c>
      <c r="P261" s="6" t="s">
        <v>28</v>
      </c>
      <c r="Q261" s="6">
        <v>4</v>
      </c>
      <c r="R261" s="6" t="s">
        <v>27</v>
      </c>
      <c r="S261" s="6" t="s">
        <v>27</v>
      </c>
    </row>
    <row r="262" spans="1:19" x14ac:dyDescent="0.35">
      <c r="A262" s="7" t="s">
        <v>582</v>
      </c>
      <c r="B262" s="5" t="s">
        <v>583</v>
      </c>
      <c r="C262" s="5" t="s">
        <v>21</v>
      </c>
      <c r="D262" s="5">
        <v>51</v>
      </c>
      <c r="E262" s="5" t="s">
        <v>38</v>
      </c>
      <c r="F262" s="5" t="s">
        <v>60</v>
      </c>
      <c r="G262" s="5" t="s">
        <v>44</v>
      </c>
      <c r="H262" s="5" t="s">
        <v>70</v>
      </c>
      <c r="I262" s="5">
        <v>23</v>
      </c>
      <c r="J262" s="5">
        <v>63637</v>
      </c>
      <c r="K262" s="5" t="s">
        <v>26</v>
      </c>
      <c r="L262" s="5">
        <v>8</v>
      </c>
      <c r="M262" s="5">
        <v>48</v>
      </c>
      <c r="N262" s="5">
        <v>2</v>
      </c>
      <c r="O262" s="5" t="s">
        <v>27</v>
      </c>
      <c r="P262" s="5" t="s">
        <v>27</v>
      </c>
      <c r="Q262" s="5">
        <v>1</v>
      </c>
      <c r="R262" s="5" t="s">
        <v>27</v>
      </c>
      <c r="S262" s="5" t="s">
        <v>27</v>
      </c>
    </row>
    <row r="263" spans="1:19" x14ac:dyDescent="0.35">
      <c r="A263" s="8" t="s">
        <v>584</v>
      </c>
      <c r="B263" s="6" t="s">
        <v>585</v>
      </c>
      <c r="C263" s="6" t="s">
        <v>21</v>
      </c>
      <c r="D263" s="6">
        <v>52</v>
      </c>
      <c r="E263" s="6" t="s">
        <v>55</v>
      </c>
      <c r="F263" s="6" t="s">
        <v>43</v>
      </c>
      <c r="G263" s="6" t="s">
        <v>24</v>
      </c>
      <c r="H263" s="6" t="s">
        <v>49</v>
      </c>
      <c r="I263" s="6">
        <v>18</v>
      </c>
      <c r="J263" s="6">
        <v>82000</v>
      </c>
      <c r="K263" s="6" t="s">
        <v>45</v>
      </c>
      <c r="L263" s="6">
        <v>2</v>
      </c>
      <c r="M263" s="6">
        <v>56</v>
      </c>
      <c r="N263" s="6">
        <v>2</v>
      </c>
      <c r="O263" s="6" t="s">
        <v>27</v>
      </c>
      <c r="P263" s="6" t="s">
        <v>28</v>
      </c>
      <c r="Q263" s="6">
        <v>2</v>
      </c>
      <c r="R263" s="6" t="s">
        <v>27</v>
      </c>
      <c r="S263" s="6" t="s">
        <v>27</v>
      </c>
    </row>
    <row r="264" spans="1:19" x14ac:dyDescent="0.35">
      <c r="A264" s="7" t="s">
        <v>586</v>
      </c>
      <c r="B264" s="5" t="s">
        <v>587</v>
      </c>
      <c r="C264" s="5" t="s">
        <v>21</v>
      </c>
      <c r="D264" s="5">
        <v>40</v>
      </c>
      <c r="E264" s="5" t="s">
        <v>32</v>
      </c>
      <c r="F264" s="5" t="s">
        <v>33</v>
      </c>
      <c r="G264" s="5" t="s">
        <v>44</v>
      </c>
      <c r="H264" s="5" t="s">
        <v>25</v>
      </c>
      <c r="I264" s="5">
        <v>12</v>
      </c>
      <c r="J264" s="5">
        <v>67919</v>
      </c>
      <c r="K264" s="5" t="s">
        <v>45</v>
      </c>
      <c r="L264" s="5">
        <v>1</v>
      </c>
      <c r="M264" s="5">
        <v>30</v>
      </c>
      <c r="N264" s="5">
        <v>5</v>
      </c>
      <c r="O264" s="5" t="s">
        <v>27</v>
      </c>
      <c r="P264" s="5" t="s">
        <v>28</v>
      </c>
      <c r="Q264" s="5">
        <v>2</v>
      </c>
      <c r="R264" s="5" t="s">
        <v>27</v>
      </c>
      <c r="S264" s="5" t="s">
        <v>27</v>
      </c>
    </row>
    <row r="265" spans="1:19" x14ac:dyDescent="0.35">
      <c r="A265" s="8" t="s">
        <v>588</v>
      </c>
      <c r="B265" s="6" t="s">
        <v>589</v>
      </c>
      <c r="C265" s="6" t="s">
        <v>31</v>
      </c>
      <c r="D265" s="6">
        <v>39</v>
      </c>
      <c r="E265" s="6" t="s">
        <v>38</v>
      </c>
      <c r="F265" s="6" t="s">
        <v>64</v>
      </c>
      <c r="G265" s="6" t="s">
        <v>44</v>
      </c>
      <c r="H265" s="6" t="s">
        <v>70</v>
      </c>
      <c r="I265" s="6">
        <v>10</v>
      </c>
      <c r="J265" s="6">
        <v>72201</v>
      </c>
      <c r="K265" s="6" t="s">
        <v>35</v>
      </c>
      <c r="L265" s="6">
        <v>9</v>
      </c>
      <c r="M265" s="6">
        <v>21</v>
      </c>
      <c r="N265" s="6">
        <v>4</v>
      </c>
      <c r="O265" s="6" t="s">
        <v>27</v>
      </c>
      <c r="P265" s="6" t="s">
        <v>28</v>
      </c>
      <c r="Q265" s="6">
        <v>4</v>
      </c>
      <c r="R265" s="6" t="s">
        <v>27</v>
      </c>
      <c r="S265" s="6" t="s">
        <v>27</v>
      </c>
    </row>
    <row r="266" spans="1:19" x14ac:dyDescent="0.35">
      <c r="A266" s="7" t="s">
        <v>590</v>
      </c>
      <c r="B266" s="5" t="s">
        <v>591</v>
      </c>
      <c r="C266" s="5" t="s">
        <v>21</v>
      </c>
      <c r="D266" s="5">
        <v>34</v>
      </c>
      <c r="E266" s="5" t="s">
        <v>55</v>
      </c>
      <c r="F266" s="5" t="s">
        <v>64</v>
      </c>
      <c r="G266" s="5" t="s">
        <v>69</v>
      </c>
      <c r="H266" s="5" t="s">
        <v>34</v>
      </c>
      <c r="I266" s="5">
        <v>8</v>
      </c>
      <c r="J266" s="5">
        <v>55445</v>
      </c>
      <c r="K266" s="5" t="s">
        <v>40</v>
      </c>
      <c r="L266" s="5">
        <v>6</v>
      </c>
      <c r="M266" s="5">
        <v>40</v>
      </c>
      <c r="N266" s="5">
        <v>5</v>
      </c>
      <c r="O266" s="5" t="s">
        <v>27</v>
      </c>
      <c r="P266" s="5" t="s">
        <v>27</v>
      </c>
      <c r="Q266" s="5">
        <v>2</v>
      </c>
      <c r="R266" s="5" t="s">
        <v>28</v>
      </c>
      <c r="S266" s="5" t="s">
        <v>27</v>
      </c>
    </row>
    <row r="267" spans="1:19" x14ac:dyDescent="0.35">
      <c r="A267" s="8" t="s">
        <v>592</v>
      </c>
      <c r="B267" s="6" t="s">
        <v>593</v>
      </c>
      <c r="C267" s="6" t="s">
        <v>21</v>
      </c>
      <c r="D267" s="6">
        <v>41</v>
      </c>
      <c r="E267" s="6" t="s">
        <v>55</v>
      </c>
      <c r="F267" s="6" t="s">
        <v>48</v>
      </c>
      <c r="G267" s="6" t="s">
        <v>24</v>
      </c>
      <c r="H267" s="6" t="s">
        <v>25</v>
      </c>
      <c r="I267" s="6">
        <v>10</v>
      </c>
      <c r="J267" s="6">
        <v>48042</v>
      </c>
      <c r="K267" s="6" t="s">
        <v>35</v>
      </c>
      <c r="L267" s="6">
        <v>9</v>
      </c>
      <c r="M267" s="6">
        <v>120</v>
      </c>
      <c r="N267" s="6">
        <v>1</v>
      </c>
      <c r="O267" s="6" t="s">
        <v>28</v>
      </c>
      <c r="P267" s="6" t="s">
        <v>28</v>
      </c>
      <c r="Q267" s="6">
        <v>2</v>
      </c>
      <c r="R267" s="6" t="s">
        <v>27</v>
      </c>
      <c r="S267" s="6" t="s">
        <v>27</v>
      </c>
    </row>
    <row r="268" spans="1:19" x14ac:dyDescent="0.35">
      <c r="A268" s="7" t="s">
        <v>594</v>
      </c>
      <c r="B268" s="5" t="s">
        <v>595</v>
      </c>
      <c r="C268" s="5" t="s">
        <v>31</v>
      </c>
      <c r="D268" s="5">
        <v>51</v>
      </c>
      <c r="E268" s="5" t="s">
        <v>55</v>
      </c>
      <c r="F268" s="5" t="s">
        <v>60</v>
      </c>
      <c r="G268" s="5" t="s">
        <v>24</v>
      </c>
      <c r="H268" s="5" t="s">
        <v>25</v>
      </c>
      <c r="I268" s="5">
        <v>15</v>
      </c>
      <c r="J268" s="5">
        <v>70864</v>
      </c>
      <c r="K268" s="5" t="s">
        <v>45</v>
      </c>
      <c r="L268" s="5">
        <v>6</v>
      </c>
      <c r="M268" s="5">
        <v>28</v>
      </c>
      <c r="N268" s="5">
        <v>4</v>
      </c>
      <c r="O268" s="5" t="s">
        <v>27</v>
      </c>
      <c r="P268" s="5" t="s">
        <v>27</v>
      </c>
      <c r="Q268" s="5">
        <v>3</v>
      </c>
      <c r="R268" s="5" t="s">
        <v>27</v>
      </c>
      <c r="S268" s="5" t="s">
        <v>27</v>
      </c>
    </row>
    <row r="269" spans="1:19" x14ac:dyDescent="0.35">
      <c r="A269" s="8" t="s">
        <v>596</v>
      </c>
      <c r="B269" s="6" t="s">
        <v>597</v>
      </c>
      <c r="C269" s="6" t="s">
        <v>31</v>
      </c>
      <c r="D269" s="6">
        <v>35</v>
      </c>
      <c r="E269" s="6" t="s">
        <v>55</v>
      </c>
      <c r="F269" s="6" t="s">
        <v>39</v>
      </c>
      <c r="G269" s="6" t="s">
        <v>24</v>
      </c>
      <c r="H269" s="6" t="s">
        <v>52</v>
      </c>
      <c r="I269" s="6">
        <v>10</v>
      </c>
      <c r="J269" s="6">
        <v>51402</v>
      </c>
      <c r="K269" s="6" t="s">
        <v>26</v>
      </c>
      <c r="L269" s="6">
        <v>2</v>
      </c>
      <c r="M269" s="6">
        <v>20</v>
      </c>
      <c r="N269" s="6">
        <v>6</v>
      </c>
      <c r="O269" s="6" t="s">
        <v>27</v>
      </c>
      <c r="P269" s="6" t="s">
        <v>28</v>
      </c>
      <c r="Q269" s="6">
        <v>2</v>
      </c>
      <c r="R269" s="6" t="s">
        <v>27</v>
      </c>
      <c r="S269" s="6" t="s">
        <v>27</v>
      </c>
    </row>
    <row r="270" spans="1:19" x14ac:dyDescent="0.35">
      <c r="A270" s="7" t="s">
        <v>598</v>
      </c>
      <c r="B270" s="5" t="s">
        <v>599</v>
      </c>
      <c r="C270" s="5" t="s">
        <v>21</v>
      </c>
      <c r="D270" s="5">
        <v>35</v>
      </c>
      <c r="E270" s="5" t="s">
        <v>55</v>
      </c>
      <c r="F270" s="5" t="s">
        <v>23</v>
      </c>
      <c r="G270" s="5" t="s">
        <v>24</v>
      </c>
      <c r="H270" s="5" t="s">
        <v>34</v>
      </c>
      <c r="I270" s="5">
        <v>8</v>
      </c>
      <c r="J270" s="5">
        <v>67458</v>
      </c>
      <c r="K270" s="5" t="s">
        <v>40</v>
      </c>
      <c r="L270" s="5">
        <v>8</v>
      </c>
      <c r="M270" s="5">
        <v>41</v>
      </c>
      <c r="N270" s="5">
        <v>3</v>
      </c>
      <c r="O270" s="5" t="s">
        <v>27</v>
      </c>
      <c r="P270" s="5" t="s">
        <v>28</v>
      </c>
      <c r="Q270" s="5">
        <v>2</v>
      </c>
      <c r="R270" s="5" t="s">
        <v>27</v>
      </c>
      <c r="S270" s="5" t="s">
        <v>27</v>
      </c>
    </row>
    <row r="271" spans="1:19" x14ac:dyDescent="0.35">
      <c r="A271" s="8" t="s">
        <v>600</v>
      </c>
      <c r="B271" s="6" t="s">
        <v>601</v>
      </c>
      <c r="C271" s="6" t="s">
        <v>31</v>
      </c>
      <c r="D271" s="6">
        <v>35</v>
      </c>
      <c r="E271" s="6" t="s">
        <v>55</v>
      </c>
      <c r="F271" s="6" t="s">
        <v>23</v>
      </c>
      <c r="G271" s="6" t="s">
        <v>24</v>
      </c>
      <c r="H271" s="6" t="s">
        <v>34</v>
      </c>
      <c r="I271" s="6">
        <v>9</v>
      </c>
      <c r="J271" s="6">
        <v>69299</v>
      </c>
      <c r="K271" s="6" t="s">
        <v>45</v>
      </c>
      <c r="L271" s="6">
        <v>6</v>
      </c>
      <c r="M271" s="6">
        <v>27</v>
      </c>
      <c r="N271" s="6">
        <v>5</v>
      </c>
      <c r="O271" s="6" t="s">
        <v>28</v>
      </c>
      <c r="P271" s="6" t="s">
        <v>28</v>
      </c>
      <c r="Q271" s="6">
        <v>1</v>
      </c>
      <c r="R271" s="6" t="s">
        <v>28</v>
      </c>
      <c r="S271" s="6" t="s">
        <v>27</v>
      </c>
    </row>
    <row r="272" spans="1:19" x14ac:dyDescent="0.35">
      <c r="A272" s="7" t="s">
        <v>602</v>
      </c>
      <c r="B272" s="5" t="s">
        <v>603</v>
      </c>
      <c r="C272" s="5" t="s">
        <v>31</v>
      </c>
      <c r="D272" s="5">
        <v>44</v>
      </c>
      <c r="E272" s="5" t="s">
        <v>38</v>
      </c>
      <c r="F272" s="5" t="s">
        <v>23</v>
      </c>
      <c r="G272" s="5" t="s">
        <v>24</v>
      </c>
      <c r="H272" s="5" t="s">
        <v>34</v>
      </c>
      <c r="I272" s="5">
        <v>17</v>
      </c>
      <c r="J272" s="5">
        <v>82000</v>
      </c>
      <c r="K272" s="5" t="s">
        <v>45</v>
      </c>
      <c r="L272" s="5">
        <v>3</v>
      </c>
      <c r="M272" s="5">
        <v>42</v>
      </c>
      <c r="N272" s="5">
        <v>1</v>
      </c>
      <c r="O272" s="5" t="s">
        <v>27</v>
      </c>
      <c r="P272" s="5" t="s">
        <v>28</v>
      </c>
      <c r="Q272" s="5">
        <v>2</v>
      </c>
      <c r="R272" s="5" t="s">
        <v>27</v>
      </c>
      <c r="S272" s="5" t="s">
        <v>27</v>
      </c>
    </row>
    <row r="273" spans="1:19" x14ac:dyDescent="0.35">
      <c r="A273" s="8" t="s">
        <v>604</v>
      </c>
      <c r="B273" s="6" t="s">
        <v>605</v>
      </c>
      <c r="C273" s="6" t="s">
        <v>31</v>
      </c>
      <c r="D273" s="6">
        <v>28</v>
      </c>
      <c r="E273" s="6" t="s">
        <v>32</v>
      </c>
      <c r="F273" s="6" t="s">
        <v>60</v>
      </c>
      <c r="G273" s="6" t="s">
        <v>24</v>
      </c>
      <c r="H273" s="6" t="s">
        <v>131</v>
      </c>
      <c r="I273" s="6">
        <v>2</v>
      </c>
      <c r="J273" s="6">
        <v>59817</v>
      </c>
      <c r="K273" s="6" t="s">
        <v>45</v>
      </c>
      <c r="L273" s="6">
        <v>2</v>
      </c>
      <c r="M273" s="6">
        <v>34</v>
      </c>
      <c r="N273" s="6">
        <v>8</v>
      </c>
      <c r="O273" s="6" t="s">
        <v>28</v>
      </c>
      <c r="P273" s="6" t="s">
        <v>27</v>
      </c>
      <c r="Q273" s="6">
        <v>4</v>
      </c>
      <c r="R273" s="6" t="s">
        <v>28</v>
      </c>
      <c r="S273" s="6" t="s">
        <v>27</v>
      </c>
    </row>
    <row r="274" spans="1:19" x14ac:dyDescent="0.35">
      <c r="A274" s="7" t="s">
        <v>606</v>
      </c>
      <c r="B274" s="5" t="s">
        <v>607</v>
      </c>
      <c r="C274" s="5" t="s">
        <v>21</v>
      </c>
      <c r="D274" s="5">
        <v>40</v>
      </c>
      <c r="E274" s="5" t="s">
        <v>55</v>
      </c>
      <c r="F274" s="5" t="s">
        <v>39</v>
      </c>
      <c r="G274" s="5" t="s">
        <v>24</v>
      </c>
      <c r="H274" s="5" t="s">
        <v>131</v>
      </c>
      <c r="I274" s="5">
        <v>9</v>
      </c>
      <c r="J274" s="5">
        <v>53045</v>
      </c>
      <c r="K274" s="5" t="s">
        <v>45</v>
      </c>
      <c r="L274" s="5">
        <v>3</v>
      </c>
      <c r="M274" s="5">
        <v>18</v>
      </c>
      <c r="N274" s="5">
        <v>1</v>
      </c>
      <c r="O274" s="5" t="s">
        <v>27</v>
      </c>
      <c r="P274" s="5" t="s">
        <v>28</v>
      </c>
      <c r="Q274" s="5">
        <v>2</v>
      </c>
      <c r="R274" s="5" t="s">
        <v>27</v>
      </c>
      <c r="S274" s="5" t="s">
        <v>27</v>
      </c>
    </row>
    <row r="275" spans="1:19" x14ac:dyDescent="0.35">
      <c r="A275" s="8" t="s">
        <v>608</v>
      </c>
      <c r="B275" s="6" t="s">
        <v>609</v>
      </c>
      <c r="C275" s="6" t="s">
        <v>31</v>
      </c>
      <c r="D275" s="6">
        <v>29</v>
      </c>
      <c r="E275" s="6" t="s">
        <v>38</v>
      </c>
      <c r="F275" s="6" t="s">
        <v>33</v>
      </c>
      <c r="G275" s="6" t="s">
        <v>24</v>
      </c>
      <c r="H275" s="6" t="s">
        <v>25</v>
      </c>
      <c r="I275" s="6">
        <v>4</v>
      </c>
      <c r="J275" s="6">
        <v>54439</v>
      </c>
      <c r="K275" s="6" t="s">
        <v>35</v>
      </c>
      <c r="L275" s="6">
        <v>10</v>
      </c>
      <c r="M275" s="6">
        <v>23</v>
      </c>
      <c r="N275" s="6">
        <v>3</v>
      </c>
      <c r="O275" s="6" t="s">
        <v>27</v>
      </c>
      <c r="P275" s="6" t="s">
        <v>27</v>
      </c>
      <c r="Q275" s="6">
        <v>2</v>
      </c>
      <c r="R275" s="6" t="s">
        <v>27</v>
      </c>
      <c r="S275" s="6" t="s">
        <v>27</v>
      </c>
    </row>
    <row r="276" spans="1:19" x14ac:dyDescent="0.35">
      <c r="A276" s="7" t="s">
        <v>610</v>
      </c>
      <c r="B276" s="5" t="s">
        <v>611</v>
      </c>
      <c r="C276" s="5" t="s">
        <v>21</v>
      </c>
      <c r="D276" s="5">
        <v>53</v>
      </c>
      <c r="E276" s="5" t="s">
        <v>22</v>
      </c>
      <c r="F276" s="5" t="s">
        <v>39</v>
      </c>
      <c r="G276" s="5" t="s">
        <v>24</v>
      </c>
      <c r="H276" s="5" t="s">
        <v>52</v>
      </c>
      <c r="I276" s="5">
        <v>19</v>
      </c>
      <c r="J276" s="5">
        <v>60624</v>
      </c>
      <c r="K276" s="5" t="s">
        <v>40</v>
      </c>
      <c r="L276" s="5">
        <v>10</v>
      </c>
      <c r="M276" s="5">
        <v>0</v>
      </c>
      <c r="N276" s="5">
        <v>4</v>
      </c>
      <c r="O276" s="5" t="s">
        <v>28</v>
      </c>
      <c r="P276" s="5" t="s">
        <v>28</v>
      </c>
      <c r="Q276" s="5">
        <v>3</v>
      </c>
      <c r="R276" s="5" t="s">
        <v>27</v>
      </c>
      <c r="S276" s="5" t="s">
        <v>27</v>
      </c>
    </row>
    <row r="277" spans="1:19" x14ac:dyDescent="0.35">
      <c r="A277" s="8" t="s">
        <v>612</v>
      </c>
      <c r="B277" s="6" t="s">
        <v>613</v>
      </c>
      <c r="C277" s="6" t="s">
        <v>31</v>
      </c>
      <c r="D277" s="6">
        <v>49</v>
      </c>
      <c r="E277" s="6" t="s">
        <v>55</v>
      </c>
      <c r="F277" s="6" t="s">
        <v>43</v>
      </c>
      <c r="G277" s="6" t="s">
        <v>24</v>
      </c>
      <c r="H277" s="6" t="s">
        <v>61</v>
      </c>
      <c r="I277" s="6">
        <v>11</v>
      </c>
      <c r="J277" s="6">
        <v>78382</v>
      </c>
      <c r="K277" s="6" t="s">
        <v>45</v>
      </c>
      <c r="L277" s="6">
        <v>10</v>
      </c>
      <c r="M277" s="6">
        <v>22</v>
      </c>
      <c r="N277" s="6">
        <v>3</v>
      </c>
      <c r="O277" s="6" t="s">
        <v>27</v>
      </c>
      <c r="P277" s="6" t="s">
        <v>28</v>
      </c>
      <c r="Q277" s="6">
        <v>3</v>
      </c>
      <c r="R277" s="6" t="s">
        <v>27</v>
      </c>
      <c r="S277" s="6" t="s">
        <v>27</v>
      </c>
    </row>
    <row r="278" spans="1:19" x14ac:dyDescent="0.35">
      <c r="A278" s="7" t="s">
        <v>614</v>
      </c>
      <c r="B278" s="5" t="s">
        <v>615</v>
      </c>
      <c r="C278" s="5" t="s">
        <v>21</v>
      </c>
      <c r="D278" s="5">
        <v>49</v>
      </c>
      <c r="E278" s="5" t="s">
        <v>55</v>
      </c>
      <c r="F278" s="5" t="s">
        <v>33</v>
      </c>
      <c r="G278" s="5" t="s">
        <v>24</v>
      </c>
      <c r="H278" s="5" t="s">
        <v>131</v>
      </c>
      <c r="I278" s="5">
        <v>10</v>
      </c>
      <c r="J278" s="5">
        <v>65058</v>
      </c>
      <c r="K278" s="5" t="s">
        <v>40</v>
      </c>
      <c r="L278" s="5">
        <v>10</v>
      </c>
      <c r="M278" s="5">
        <v>15</v>
      </c>
      <c r="N278" s="5">
        <v>6</v>
      </c>
      <c r="O278" s="5" t="s">
        <v>27</v>
      </c>
      <c r="P278" s="5" t="s">
        <v>28</v>
      </c>
      <c r="Q278" s="5">
        <v>1</v>
      </c>
      <c r="R278" s="5" t="s">
        <v>27</v>
      </c>
      <c r="S278" s="5" t="s">
        <v>27</v>
      </c>
    </row>
    <row r="279" spans="1:19" x14ac:dyDescent="0.35">
      <c r="A279" s="8" t="s">
        <v>616</v>
      </c>
      <c r="B279" s="6" t="s">
        <v>617</v>
      </c>
      <c r="C279" s="6" t="s">
        <v>21</v>
      </c>
      <c r="D279" s="6">
        <v>47</v>
      </c>
      <c r="E279" s="6" t="s">
        <v>38</v>
      </c>
      <c r="F279" s="6" t="s">
        <v>64</v>
      </c>
      <c r="G279" s="6" t="s">
        <v>24</v>
      </c>
      <c r="H279" s="6" t="s">
        <v>70</v>
      </c>
      <c r="I279" s="6">
        <v>18</v>
      </c>
      <c r="J279" s="6">
        <v>76182</v>
      </c>
      <c r="K279" s="6" t="s">
        <v>40</v>
      </c>
      <c r="L279" s="6">
        <v>6</v>
      </c>
      <c r="M279" s="6">
        <v>18</v>
      </c>
      <c r="N279" s="6">
        <v>8</v>
      </c>
      <c r="O279" s="6" t="s">
        <v>28</v>
      </c>
      <c r="P279" s="6" t="s">
        <v>28</v>
      </c>
      <c r="Q279" s="6">
        <v>4</v>
      </c>
      <c r="R279" s="6" t="s">
        <v>28</v>
      </c>
      <c r="S279" s="6" t="s">
        <v>28</v>
      </c>
    </row>
    <row r="280" spans="1:19" x14ac:dyDescent="0.35">
      <c r="A280" s="7" t="s">
        <v>618</v>
      </c>
      <c r="B280" s="5" t="s">
        <v>619</v>
      </c>
      <c r="C280" s="5" t="s">
        <v>21</v>
      </c>
      <c r="D280" s="5">
        <v>26</v>
      </c>
      <c r="E280" s="5" t="s">
        <v>22</v>
      </c>
      <c r="F280" s="5" t="s">
        <v>48</v>
      </c>
      <c r="G280" s="5" t="s">
        <v>24</v>
      </c>
      <c r="H280" s="5" t="s">
        <v>34</v>
      </c>
      <c r="I280" s="5">
        <v>2</v>
      </c>
      <c r="J280" s="5">
        <v>45641</v>
      </c>
      <c r="K280" s="5" t="s">
        <v>45</v>
      </c>
      <c r="L280" s="5">
        <v>8</v>
      </c>
      <c r="M280" s="5">
        <v>32</v>
      </c>
      <c r="N280" s="5">
        <v>4</v>
      </c>
      <c r="O280" s="5" t="s">
        <v>28</v>
      </c>
      <c r="P280" s="5" t="s">
        <v>28</v>
      </c>
      <c r="Q280" s="5">
        <v>4</v>
      </c>
      <c r="R280" s="5" t="s">
        <v>27</v>
      </c>
      <c r="S280" s="5" t="s">
        <v>27</v>
      </c>
    </row>
    <row r="281" spans="1:19" x14ac:dyDescent="0.35">
      <c r="A281" s="8" t="s">
        <v>620</v>
      </c>
      <c r="B281" s="6" t="s">
        <v>621</v>
      </c>
      <c r="C281" s="6" t="s">
        <v>21</v>
      </c>
      <c r="D281" s="6">
        <v>45</v>
      </c>
      <c r="E281" s="6" t="s">
        <v>55</v>
      </c>
      <c r="F281" s="6" t="s">
        <v>39</v>
      </c>
      <c r="G281" s="6" t="s">
        <v>24</v>
      </c>
      <c r="H281" s="6" t="s">
        <v>131</v>
      </c>
      <c r="I281" s="6">
        <v>12</v>
      </c>
      <c r="J281" s="6">
        <v>61807</v>
      </c>
      <c r="K281" s="6" t="s">
        <v>45</v>
      </c>
      <c r="L281" s="6">
        <v>7</v>
      </c>
      <c r="M281" s="6">
        <v>25</v>
      </c>
      <c r="N281" s="6">
        <v>2</v>
      </c>
      <c r="O281" s="6" t="s">
        <v>27</v>
      </c>
      <c r="P281" s="6" t="s">
        <v>27</v>
      </c>
      <c r="Q281" s="6">
        <v>1</v>
      </c>
      <c r="R281" s="6" t="s">
        <v>27</v>
      </c>
      <c r="S281" s="6" t="s">
        <v>27</v>
      </c>
    </row>
    <row r="282" spans="1:19" x14ac:dyDescent="0.35">
      <c r="A282" s="7" t="s">
        <v>622</v>
      </c>
      <c r="B282" s="5" t="s">
        <v>623</v>
      </c>
      <c r="C282" s="5" t="s">
        <v>31</v>
      </c>
      <c r="D282" s="5">
        <v>30</v>
      </c>
      <c r="E282" s="5" t="s">
        <v>55</v>
      </c>
      <c r="F282" s="5" t="s">
        <v>60</v>
      </c>
      <c r="G282" s="5" t="s">
        <v>24</v>
      </c>
      <c r="H282" s="5" t="s">
        <v>49</v>
      </c>
      <c r="I282" s="5">
        <v>4</v>
      </c>
      <c r="J282" s="5">
        <v>53648</v>
      </c>
      <c r="K282" s="5" t="s">
        <v>45</v>
      </c>
      <c r="L282" s="5">
        <v>1</v>
      </c>
      <c r="M282" s="5">
        <v>24</v>
      </c>
      <c r="N282" s="5">
        <v>6</v>
      </c>
      <c r="O282" s="5" t="s">
        <v>28</v>
      </c>
      <c r="P282" s="5" t="s">
        <v>28</v>
      </c>
      <c r="Q282" s="5">
        <v>1</v>
      </c>
      <c r="R282" s="5" t="s">
        <v>27</v>
      </c>
      <c r="S282" s="5" t="s">
        <v>28</v>
      </c>
    </row>
    <row r="283" spans="1:19" x14ac:dyDescent="0.35">
      <c r="A283" s="8" t="s">
        <v>624</v>
      </c>
      <c r="B283" s="6" t="s">
        <v>625</v>
      </c>
      <c r="C283" s="6" t="s">
        <v>21</v>
      </c>
      <c r="D283" s="6">
        <v>45</v>
      </c>
      <c r="E283" s="6" t="s">
        <v>38</v>
      </c>
      <c r="F283" s="6" t="s">
        <v>64</v>
      </c>
      <c r="G283" s="6" t="s">
        <v>24</v>
      </c>
      <c r="H283" s="6" t="s">
        <v>52</v>
      </c>
      <c r="I283" s="6">
        <v>14</v>
      </c>
      <c r="J283" s="6">
        <v>66884</v>
      </c>
      <c r="K283" s="6" t="s">
        <v>45</v>
      </c>
      <c r="L283" s="6">
        <v>8</v>
      </c>
      <c r="M283" s="6">
        <v>5</v>
      </c>
      <c r="N283" s="6">
        <v>5</v>
      </c>
      <c r="O283" s="6" t="s">
        <v>28</v>
      </c>
      <c r="P283" s="6" t="s">
        <v>28</v>
      </c>
      <c r="Q283" s="6">
        <v>5</v>
      </c>
      <c r="R283" s="6" t="s">
        <v>27</v>
      </c>
      <c r="S283" s="6" t="s">
        <v>27</v>
      </c>
    </row>
    <row r="284" spans="1:19" x14ac:dyDescent="0.35">
      <c r="A284" s="7" t="s">
        <v>626</v>
      </c>
      <c r="B284" s="5" t="s">
        <v>627</v>
      </c>
      <c r="C284" s="5" t="s">
        <v>21</v>
      </c>
      <c r="D284" s="5">
        <v>35</v>
      </c>
      <c r="E284" s="5" t="s">
        <v>22</v>
      </c>
      <c r="F284" s="5" t="s">
        <v>64</v>
      </c>
      <c r="G284" s="5" t="s">
        <v>24</v>
      </c>
      <c r="H284" s="5" t="s">
        <v>34</v>
      </c>
      <c r="I284" s="5">
        <v>8</v>
      </c>
      <c r="J284" s="5">
        <v>64576</v>
      </c>
      <c r="K284" s="5" t="s">
        <v>45</v>
      </c>
      <c r="L284" s="5">
        <v>4</v>
      </c>
      <c r="M284" s="5">
        <v>18</v>
      </c>
      <c r="N284" s="5">
        <v>6</v>
      </c>
      <c r="O284" s="5" t="s">
        <v>27</v>
      </c>
      <c r="P284" s="5" t="s">
        <v>27</v>
      </c>
      <c r="Q284" s="5">
        <v>5</v>
      </c>
      <c r="R284" s="5" t="s">
        <v>27</v>
      </c>
      <c r="S284" s="5" t="s">
        <v>27</v>
      </c>
    </row>
    <row r="285" spans="1:19" x14ac:dyDescent="0.35">
      <c r="A285" s="8" t="s">
        <v>628</v>
      </c>
      <c r="B285" s="6" t="s">
        <v>629</v>
      </c>
      <c r="C285" s="6" t="s">
        <v>31</v>
      </c>
      <c r="D285" s="6">
        <v>35</v>
      </c>
      <c r="E285" s="6" t="s">
        <v>55</v>
      </c>
      <c r="F285" s="6" t="s">
        <v>23</v>
      </c>
      <c r="G285" s="6" t="s">
        <v>24</v>
      </c>
      <c r="H285" s="6" t="s">
        <v>49</v>
      </c>
      <c r="I285" s="6">
        <v>11</v>
      </c>
      <c r="J285" s="6">
        <v>62367</v>
      </c>
      <c r="K285" s="6" t="s">
        <v>26</v>
      </c>
      <c r="L285" s="6">
        <v>10</v>
      </c>
      <c r="M285" s="6">
        <v>51</v>
      </c>
      <c r="N285" s="6">
        <v>3</v>
      </c>
      <c r="O285" s="6" t="s">
        <v>27</v>
      </c>
      <c r="P285" s="6" t="s">
        <v>28</v>
      </c>
      <c r="Q285" s="6">
        <v>1</v>
      </c>
      <c r="R285" s="6" t="s">
        <v>27</v>
      </c>
      <c r="S285" s="6" t="s">
        <v>27</v>
      </c>
    </row>
    <row r="286" spans="1:19" x14ac:dyDescent="0.35">
      <c r="A286" s="7" t="s">
        <v>630</v>
      </c>
      <c r="B286" s="5" t="s">
        <v>631</v>
      </c>
      <c r="C286" s="5" t="s">
        <v>21</v>
      </c>
      <c r="D286" s="5">
        <v>35</v>
      </c>
      <c r="E286" s="5" t="s">
        <v>55</v>
      </c>
      <c r="F286" s="5" t="s">
        <v>23</v>
      </c>
      <c r="G286" s="5" t="s">
        <v>24</v>
      </c>
      <c r="H286" s="5" t="s">
        <v>70</v>
      </c>
      <c r="I286" s="5">
        <v>10</v>
      </c>
      <c r="J286" s="5">
        <v>73666</v>
      </c>
      <c r="K286" s="5" t="s">
        <v>45</v>
      </c>
      <c r="L286" s="5">
        <v>1</v>
      </c>
      <c r="M286" s="5">
        <v>10</v>
      </c>
      <c r="N286" s="5">
        <v>1</v>
      </c>
      <c r="O286" s="5" t="s">
        <v>28</v>
      </c>
      <c r="P286" s="5" t="s">
        <v>28</v>
      </c>
      <c r="Q286" s="5">
        <v>3</v>
      </c>
      <c r="R286" s="5" t="s">
        <v>28</v>
      </c>
      <c r="S286" s="5" t="s">
        <v>28</v>
      </c>
    </row>
    <row r="287" spans="1:19" x14ac:dyDescent="0.35">
      <c r="A287" s="8" t="s">
        <v>632</v>
      </c>
      <c r="B287" s="6" t="s">
        <v>633</v>
      </c>
      <c r="C287" s="6" t="s">
        <v>31</v>
      </c>
      <c r="D287" s="6">
        <v>30</v>
      </c>
      <c r="E287" s="6" t="s">
        <v>38</v>
      </c>
      <c r="F287" s="6" t="s">
        <v>48</v>
      </c>
      <c r="G287" s="6" t="s">
        <v>69</v>
      </c>
      <c r="H287" s="6" t="s">
        <v>52</v>
      </c>
      <c r="I287" s="6">
        <v>6</v>
      </c>
      <c r="J287" s="6">
        <v>50925</v>
      </c>
      <c r="K287" s="6" t="s">
        <v>45</v>
      </c>
      <c r="L287" s="6">
        <v>8</v>
      </c>
      <c r="M287" s="6">
        <v>27</v>
      </c>
      <c r="N287" s="6">
        <v>5</v>
      </c>
      <c r="O287" s="6" t="s">
        <v>27</v>
      </c>
      <c r="P287" s="6" t="s">
        <v>28</v>
      </c>
      <c r="Q287" s="6">
        <v>4</v>
      </c>
      <c r="R287" s="6" t="s">
        <v>28</v>
      </c>
      <c r="S287" s="6" t="s">
        <v>27</v>
      </c>
    </row>
    <row r="288" spans="1:19" x14ac:dyDescent="0.35">
      <c r="A288" s="7" t="s">
        <v>634</v>
      </c>
      <c r="B288" s="5" t="s">
        <v>635</v>
      </c>
      <c r="C288" s="5" t="s">
        <v>21</v>
      </c>
      <c r="D288" s="5">
        <v>33</v>
      </c>
      <c r="E288" s="5" t="s">
        <v>22</v>
      </c>
      <c r="F288" s="5" t="s">
        <v>39</v>
      </c>
      <c r="G288" s="5" t="s">
        <v>24</v>
      </c>
      <c r="H288" s="5" t="s">
        <v>25</v>
      </c>
      <c r="I288" s="5">
        <v>8</v>
      </c>
      <c r="J288" s="5">
        <v>64407</v>
      </c>
      <c r="K288" s="5" t="s">
        <v>40</v>
      </c>
      <c r="L288" s="5">
        <v>8</v>
      </c>
      <c r="M288" s="5">
        <v>7</v>
      </c>
      <c r="N288" s="5">
        <v>0</v>
      </c>
      <c r="O288" s="5" t="s">
        <v>28</v>
      </c>
      <c r="P288" s="5" t="s">
        <v>27</v>
      </c>
      <c r="Q288" s="5">
        <v>2</v>
      </c>
      <c r="R288" s="5" t="s">
        <v>27</v>
      </c>
      <c r="S288" s="5" t="s">
        <v>27</v>
      </c>
    </row>
    <row r="289" spans="1:19" x14ac:dyDescent="0.35">
      <c r="A289" s="8" t="s">
        <v>636</v>
      </c>
      <c r="B289" s="6" t="s">
        <v>637</v>
      </c>
      <c r="C289" s="6" t="s">
        <v>21</v>
      </c>
      <c r="D289" s="6">
        <v>40</v>
      </c>
      <c r="E289" s="6" t="s">
        <v>55</v>
      </c>
      <c r="F289" s="6" t="s">
        <v>48</v>
      </c>
      <c r="G289" s="6" t="s">
        <v>44</v>
      </c>
      <c r="H289" s="6" t="s">
        <v>61</v>
      </c>
      <c r="I289" s="6">
        <v>7</v>
      </c>
      <c r="J289" s="6">
        <v>39006</v>
      </c>
      <c r="K289" s="6" t="s">
        <v>35</v>
      </c>
      <c r="L289" s="6">
        <v>9</v>
      </c>
      <c r="M289" s="6">
        <v>25</v>
      </c>
      <c r="N289" s="6">
        <v>6</v>
      </c>
      <c r="O289" s="6" t="s">
        <v>28</v>
      </c>
      <c r="P289" s="6" t="s">
        <v>27</v>
      </c>
      <c r="Q289" s="6">
        <v>5</v>
      </c>
      <c r="R289" s="6" t="s">
        <v>27</v>
      </c>
      <c r="S289" s="6" t="s">
        <v>27</v>
      </c>
    </row>
    <row r="290" spans="1:19" x14ac:dyDescent="0.35">
      <c r="A290" s="7" t="s">
        <v>638</v>
      </c>
      <c r="B290" s="5" t="s">
        <v>639</v>
      </c>
      <c r="C290" s="5" t="s">
        <v>31</v>
      </c>
      <c r="D290" s="5">
        <v>24</v>
      </c>
      <c r="E290" s="5" t="s">
        <v>55</v>
      </c>
      <c r="F290" s="5" t="s">
        <v>64</v>
      </c>
      <c r="G290" s="5" t="s">
        <v>24</v>
      </c>
      <c r="H290" s="5" t="s">
        <v>34</v>
      </c>
      <c r="I290" s="5">
        <v>2</v>
      </c>
      <c r="J290" s="5">
        <v>55570</v>
      </c>
      <c r="K290" s="5" t="s">
        <v>45</v>
      </c>
      <c r="L290" s="5">
        <v>5</v>
      </c>
      <c r="M290" s="5">
        <v>38</v>
      </c>
      <c r="N290" s="5">
        <v>5</v>
      </c>
      <c r="O290" s="5" t="s">
        <v>27</v>
      </c>
      <c r="P290" s="5" t="s">
        <v>28</v>
      </c>
      <c r="Q290" s="5">
        <v>3</v>
      </c>
      <c r="R290" s="5" t="s">
        <v>28</v>
      </c>
      <c r="S290" s="5" t="s">
        <v>27</v>
      </c>
    </row>
    <row r="291" spans="1:19" x14ac:dyDescent="0.35">
      <c r="A291" s="8" t="s">
        <v>640</v>
      </c>
      <c r="B291" s="6" t="s">
        <v>641</v>
      </c>
      <c r="C291" s="6" t="s">
        <v>31</v>
      </c>
      <c r="D291" s="6">
        <v>33</v>
      </c>
      <c r="E291" s="6" t="s">
        <v>38</v>
      </c>
      <c r="F291" s="6" t="s">
        <v>48</v>
      </c>
      <c r="G291" s="6" t="s">
        <v>24</v>
      </c>
      <c r="H291" s="6" t="s">
        <v>52</v>
      </c>
      <c r="I291" s="6">
        <v>4</v>
      </c>
      <c r="J291" s="6">
        <v>44023</v>
      </c>
      <c r="K291" s="6" t="s">
        <v>35</v>
      </c>
      <c r="L291" s="6">
        <v>2</v>
      </c>
      <c r="M291" s="6">
        <v>60</v>
      </c>
      <c r="N291" s="6">
        <v>8</v>
      </c>
      <c r="O291" s="6" t="s">
        <v>27</v>
      </c>
      <c r="P291" s="6" t="s">
        <v>28</v>
      </c>
      <c r="Q291" s="6">
        <v>2</v>
      </c>
      <c r="R291" s="6" t="s">
        <v>28</v>
      </c>
      <c r="S291" s="6" t="s">
        <v>27</v>
      </c>
    </row>
    <row r="292" spans="1:19" x14ac:dyDescent="0.35">
      <c r="A292" s="7" t="s">
        <v>642</v>
      </c>
      <c r="B292" s="5" t="s">
        <v>643</v>
      </c>
      <c r="C292" s="5" t="s">
        <v>31</v>
      </c>
      <c r="D292" s="5">
        <v>47</v>
      </c>
      <c r="E292" s="5" t="s">
        <v>55</v>
      </c>
      <c r="F292" s="5" t="s">
        <v>64</v>
      </c>
      <c r="G292" s="5" t="s">
        <v>24</v>
      </c>
      <c r="H292" s="5" t="s">
        <v>49</v>
      </c>
      <c r="I292" s="5">
        <v>13</v>
      </c>
      <c r="J292" s="5">
        <v>66320</v>
      </c>
      <c r="K292" s="5" t="s">
        <v>26</v>
      </c>
      <c r="L292" s="5">
        <v>6</v>
      </c>
      <c r="M292" s="5">
        <v>31</v>
      </c>
      <c r="N292" s="5">
        <v>5</v>
      </c>
      <c r="O292" s="5" t="s">
        <v>27</v>
      </c>
      <c r="P292" s="5" t="s">
        <v>28</v>
      </c>
      <c r="Q292" s="5">
        <v>1</v>
      </c>
      <c r="R292" s="5" t="s">
        <v>27</v>
      </c>
      <c r="S292" s="5" t="s">
        <v>27</v>
      </c>
    </row>
    <row r="293" spans="1:19" x14ac:dyDescent="0.35">
      <c r="A293" s="8" t="s">
        <v>644</v>
      </c>
      <c r="B293" s="6" t="s">
        <v>645</v>
      </c>
      <c r="C293" s="6" t="s">
        <v>21</v>
      </c>
      <c r="D293" s="6">
        <v>33</v>
      </c>
      <c r="E293" s="6" t="s">
        <v>38</v>
      </c>
      <c r="F293" s="6" t="s">
        <v>23</v>
      </c>
      <c r="G293" s="6" t="s">
        <v>24</v>
      </c>
      <c r="H293" s="6" t="s">
        <v>34</v>
      </c>
      <c r="I293" s="6">
        <v>9</v>
      </c>
      <c r="J293" s="6">
        <v>69559</v>
      </c>
      <c r="K293" s="6" t="s">
        <v>45</v>
      </c>
      <c r="L293" s="6">
        <v>3</v>
      </c>
      <c r="M293" s="6">
        <v>1</v>
      </c>
      <c r="N293" s="6">
        <v>3</v>
      </c>
      <c r="O293" s="6" t="s">
        <v>27</v>
      </c>
      <c r="P293" s="6" t="s">
        <v>27</v>
      </c>
      <c r="Q293" s="6">
        <v>4</v>
      </c>
      <c r="R293" s="6" t="s">
        <v>27</v>
      </c>
      <c r="S293" s="6" t="s">
        <v>27</v>
      </c>
    </row>
    <row r="294" spans="1:19" x14ac:dyDescent="0.35">
      <c r="A294" s="7" t="s">
        <v>646</v>
      </c>
      <c r="B294" s="5" t="s">
        <v>647</v>
      </c>
      <c r="C294" s="5" t="s">
        <v>31</v>
      </c>
      <c r="D294" s="5">
        <v>51</v>
      </c>
      <c r="E294" s="5" t="s">
        <v>55</v>
      </c>
      <c r="F294" s="5" t="s">
        <v>64</v>
      </c>
      <c r="G294" s="5" t="s">
        <v>69</v>
      </c>
      <c r="H294" s="5" t="s">
        <v>61</v>
      </c>
      <c r="I294" s="5">
        <v>18</v>
      </c>
      <c r="J294" s="5">
        <v>59336</v>
      </c>
      <c r="K294" s="5" t="s">
        <v>45</v>
      </c>
      <c r="L294" s="5">
        <v>5</v>
      </c>
      <c r="M294" s="5">
        <v>49</v>
      </c>
      <c r="N294" s="5">
        <v>4</v>
      </c>
      <c r="O294" s="5" t="s">
        <v>28</v>
      </c>
      <c r="P294" s="5" t="s">
        <v>28</v>
      </c>
      <c r="Q294" s="5">
        <v>4</v>
      </c>
      <c r="R294" s="5" t="s">
        <v>28</v>
      </c>
      <c r="S294" s="5" t="s">
        <v>27</v>
      </c>
    </row>
    <row r="295" spans="1:19" x14ac:dyDescent="0.35">
      <c r="A295" s="8" t="s">
        <v>648</v>
      </c>
      <c r="B295" s="6" t="s">
        <v>649</v>
      </c>
      <c r="C295" s="6" t="s">
        <v>31</v>
      </c>
      <c r="D295" s="6">
        <v>50</v>
      </c>
      <c r="E295" s="6" t="s">
        <v>55</v>
      </c>
      <c r="F295" s="6" t="s">
        <v>43</v>
      </c>
      <c r="G295" s="6" t="s">
        <v>24</v>
      </c>
      <c r="H295" s="6" t="s">
        <v>70</v>
      </c>
      <c r="I295" s="6">
        <v>17</v>
      </c>
      <c r="J295" s="6">
        <v>81626</v>
      </c>
      <c r="K295" s="6" t="s">
        <v>26</v>
      </c>
      <c r="L295" s="6">
        <v>1</v>
      </c>
      <c r="M295" s="6">
        <v>20</v>
      </c>
      <c r="N295" s="6">
        <v>3</v>
      </c>
      <c r="O295" s="6" t="s">
        <v>27</v>
      </c>
      <c r="P295" s="6" t="s">
        <v>28</v>
      </c>
      <c r="Q295" s="6">
        <v>1</v>
      </c>
      <c r="R295" s="6" t="s">
        <v>27</v>
      </c>
      <c r="S295" s="6" t="s">
        <v>27</v>
      </c>
    </row>
    <row r="296" spans="1:19" x14ac:dyDescent="0.35">
      <c r="A296" s="7" t="s">
        <v>650</v>
      </c>
      <c r="B296" s="5" t="s">
        <v>651</v>
      </c>
      <c r="C296" s="5" t="s">
        <v>31</v>
      </c>
      <c r="D296" s="5">
        <v>34</v>
      </c>
      <c r="E296" s="5" t="s">
        <v>55</v>
      </c>
      <c r="F296" s="5" t="s">
        <v>23</v>
      </c>
      <c r="G296" s="5" t="s">
        <v>24</v>
      </c>
      <c r="H296" s="5" t="s">
        <v>70</v>
      </c>
      <c r="I296" s="5">
        <v>11</v>
      </c>
      <c r="J296" s="5">
        <v>66098</v>
      </c>
      <c r="K296" s="5" t="s">
        <v>35</v>
      </c>
      <c r="L296" s="5">
        <v>6</v>
      </c>
      <c r="M296" s="5">
        <v>28</v>
      </c>
      <c r="N296" s="5">
        <v>7</v>
      </c>
      <c r="O296" s="5" t="s">
        <v>27</v>
      </c>
      <c r="P296" s="5" t="s">
        <v>28</v>
      </c>
      <c r="Q296" s="5">
        <v>5</v>
      </c>
      <c r="R296" s="5" t="s">
        <v>27</v>
      </c>
      <c r="S296" s="5" t="s">
        <v>27</v>
      </c>
    </row>
    <row r="297" spans="1:19" x14ac:dyDescent="0.35">
      <c r="A297" s="8" t="s">
        <v>652</v>
      </c>
      <c r="B297" s="6" t="s">
        <v>653</v>
      </c>
      <c r="C297" s="6" t="s">
        <v>31</v>
      </c>
      <c r="D297" s="6">
        <v>35</v>
      </c>
      <c r="E297" s="6" t="s">
        <v>38</v>
      </c>
      <c r="F297" s="6" t="s">
        <v>48</v>
      </c>
      <c r="G297" s="6" t="s">
        <v>24</v>
      </c>
      <c r="H297" s="6" t="s">
        <v>70</v>
      </c>
      <c r="I297" s="6">
        <v>11</v>
      </c>
      <c r="J297" s="6">
        <v>50564</v>
      </c>
      <c r="K297" s="6" t="s">
        <v>45</v>
      </c>
      <c r="L297" s="6">
        <v>1</v>
      </c>
      <c r="M297" s="6">
        <v>27</v>
      </c>
      <c r="N297" s="6">
        <v>2</v>
      </c>
      <c r="O297" s="6" t="s">
        <v>27</v>
      </c>
      <c r="P297" s="6" t="s">
        <v>28</v>
      </c>
      <c r="Q297" s="6">
        <v>5</v>
      </c>
      <c r="R297" s="6" t="s">
        <v>27</v>
      </c>
      <c r="S297" s="6" t="s">
        <v>28</v>
      </c>
    </row>
    <row r="298" spans="1:19" x14ac:dyDescent="0.35">
      <c r="A298" s="7" t="s">
        <v>654</v>
      </c>
      <c r="B298" s="5" t="s">
        <v>655</v>
      </c>
      <c r="C298" s="5" t="s">
        <v>31</v>
      </c>
      <c r="D298" s="5">
        <v>21</v>
      </c>
      <c r="E298" s="5" t="s">
        <v>55</v>
      </c>
      <c r="F298" s="5" t="s">
        <v>33</v>
      </c>
      <c r="G298" s="5" t="s">
        <v>24</v>
      </c>
      <c r="H298" s="5" t="s">
        <v>70</v>
      </c>
      <c r="I298" s="5">
        <v>0</v>
      </c>
      <c r="J298" s="5">
        <v>55430</v>
      </c>
      <c r="K298" s="5" t="s">
        <v>26</v>
      </c>
      <c r="L298" s="5">
        <v>10</v>
      </c>
      <c r="M298" s="5">
        <v>31</v>
      </c>
      <c r="N298" s="5">
        <v>4</v>
      </c>
      <c r="O298" s="5" t="s">
        <v>28</v>
      </c>
      <c r="P298" s="5" t="s">
        <v>28</v>
      </c>
      <c r="Q298" s="5">
        <v>4</v>
      </c>
      <c r="R298" s="5" t="s">
        <v>27</v>
      </c>
      <c r="S298" s="5" t="s">
        <v>27</v>
      </c>
    </row>
    <row r="299" spans="1:19" x14ac:dyDescent="0.35">
      <c r="A299" s="8" t="s">
        <v>656</v>
      </c>
      <c r="B299" s="6" t="s">
        <v>657</v>
      </c>
      <c r="C299" s="6" t="s">
        <v>31</v>
      </c>
      <c r="D299" s="6">
        <v>50</v>
      </c>
      <c r="E299" s="6" t="s">
        <v>38</v>
      </c>
      <c r="F299" s="6" t="s">
        <v>48</v>
      </c>
      <c r="G299" s="6" t="s">
        <v>24</v>
      </c>
      <c r="H299" s="6" t="s">
        <v>61</v>
      </c>
      <c r="I299" s="6">
        <v>23</v>
      </c>
      <c r="J299" s="6">
        <v>61703</v>
      </c>
      <c r="K299" s="6" t="s">
        <v>26</v>
      </c>
      <c r="L299" s="6">
        <v>7</v>
      </c>
      <c r="M299" s="6">
        <v>52</v>
      </c>
      <c r="N299" s="6">
        <v>4</v>
      </c>
      <c r="O299" s="6" t="s">
        <v>28</v>
      </c>
      <c r="P299" s="6" t="s">
        <v>28</v>
      </c>
      <c r="Q299" s="6">
        <v>3</v>
      </c>
      <c r="R299" s="6" t="s">
        <v>27</v>
      </c>
      <c r="S299" s="6" t="s">
        <v>28</v>
      </c>
    </row>
    <row r="300" spans="1:19" x14ac:dyDescent="0.35">
      <c r="A300" s="7" t="s">
        <v>658</v>
      </c>
      <c r="B300" s="5" t="s">
        <v>659</v>
      </c>
      <c r="C300" s="5" t="s">
        <v>31</v>
      </c>
      <c r="D300" s="5">
        <v>32</v>
      </c>
      <c r="E300" s="5" t="s">
        <v>38</v>
      </c>
      <c r="F300" s="5" t="s">
        <v>60</v>
      </c>
      <c r="G300" s="5" t="s">
        <v>24</v>
      </c>
      <c r="H300" s="5" t="s">
        <v>70</v>
      </c>
      <c r="I300" s="5">
        <v>5</v>
      </c>
      <c r="J300" s="5">
        <v>65447</v>
      </c>
      <c r="K300" s="5" t="s">
        <v>40</v>
      </c>
      <c r="L300" s="5">
        <v>10</v>
      </c>
      <c r="M300" s="5">
        <v>36</v>
      </c>
      <c r="N300" s="5">
        <v>8</v>
      </c>
      <c r="O300" s="5" t="s">
        <v>28</v>
      </c>
      <c r="P300" s="5" t="s">
        <v>27</v>
      </c>
      <c r="Q300" s="5">
        <v>5</v>
      </c>
      <c r="R300" s="5" t="s">
        <v>27</v>
      </c>
      <c r="S300" s="5" t="s">
        <v>27</v>
      </c>
    </row>
    <row r="301" spans="1:19" x14ac:dyDescent="0.35">
      <c r="A301" s="8" t="s">
        <v>660</v>
      </c>
      <c r="B301" s="6" t="s">
        <v>661</v>
      </c>
      <c r="C301" s="6" t="s">
        <v>21</v>
      </c>
      <c r="D301" s="6">
        <v>52</v>
      </c>
      <c r="E301" s="6" t="s">
        <v>38</v>
      </c>
      <c r="F301" s="6" t="s">
        <v>43</v>
      </c>
      <c r="G301" s="6" t="s">
        <v>24</v>
      </c>
      <c r="H301" s="6" t="s">
        <v>25</v>
      </c>
      <c r="I301" s="6">
        <v>24</v>
      </c>
      <c r="J301" s="6">
        <v>75910</v>
      </c>
      <c r="K301" s="6" t="s">
        <v>45</v>
      </c>
      <c r="L301" s="6">
        <v>1</v>
      </c>
      <c r="M301" s="6">
        <v>41</v>
      </c>
      <c r="N301" s="6">
        <v>1</v>
      </c>
      <c r="O301" s="6" t="s">
        <v>27</v>
      </c>
      <c r="P301" s="6" t="s">
        <v>28</v>
      </c>
      <c r="Q301" s="6">
        <v>4</v>
      </c>
      <c r="R301" s="6" t="s">
        <v>28</v>
      </c>
      <c r="S301" s="6" t="s">
        <v>27</v>
      </c>
    </row>
    <row r="302" spans="1:19" x14ac:dyDescent="0.35">
      <c r="A302" s="7" t="s">
        <v>662</v>
      </c>
      <c r="B302" s="5" t="s">
        <v>663</v>
      </c>
      <c r="C302" s="5" t="s">
        <v>31</v>
      </c>
      <c r="D302" s="5">
        <v>51</v>
      </c>
      <c r="E302" s="5" t="s">
        <v>55</v>
      </c>
      <c r="F302" s="5" t="s">
        <v>64</v>
      </c>
      <c r="G302" s="5" t="s">
        <v>24</v>
      </c>
      <c r="H302" s="5" t="s">
        <v>49</v>
      </c>
      <c r="I302" s="5">
        <v>19</v>
      </c>
      <c r="J302" s="5">
        <v>82000</v>
      </c>
      <c r="K302" s="5" t="s">
        <v>45</v>
      </c>
      <c r="L302" s="5">
        <v>8</v>
      </c>
      <c r="M302" s="5">
        <v>35</v>
      </c>
      <c r="N302" s="5">
        <v>4</v>
      </c>
      <c r="O302" s="5" t="s">
        <v>27</v>
      </c>
      <c r="P302" s="5" t="s">
        <v>28</v>
      </c>
      <c r="Q302" s="5">
        <v>2</v>
      </c>
      <c r="R302" s="5" t="s">
        <v>28</v>
      </c>
      <c r="S302" s="5" t="s">
        <v>28</v>
      </c>
    </row>
    <row r="303" spans="1:19" x14ac:dyDescent="0.35">
      <c r="A303" s="8" t="s">
        <v>664</v>
      </c>
      <c r="B303" s="6" t="s">
        <v>665</v>
      </c>
      <c r="C303" s="6" t="s">
        <v>21</v>
      </c>
      <c r="D303" s="6">
        <v>27</v>
      </c>
      <c r="E303" s="6" t="s">
        <v>38</v>
      </c>
      <c r="F303" s="6" t="s">
        <v>23</v>
      </c>
      <c r="G303" s="6" t="s">
        <v>24</v>
      </c>
      <c r="H303" s="6" t="s">
        <v>70</v>
      </c>
      <c r="I303" s="6">
        <v>5</v>
      </c>
      <c r="J303" s="6">
        <v>67641</v>
      </c>
      <c r="K303" s="6" t="s">
        <v>45</v>
      </c>
      <c r="L303" s="6">
        <v>1</v>
      </c>
      <c r="M303" s="6">
        <v>42</v>
      </c>
      <c r="N303" s="6">
        <v>6</v>
      </c>
      <c r="O303" s="6" t="s">
        <v>27</v>
      </c>
      <c r="P303" s="6" t="s">
        <v>28</v>
      </c>
      <c r="Q303" s="6">
        <v>3</v>
      </c>
      <c r="R303" s="6" t="s">
        <v>27</v>
      </c>
      <c r="S303" s="6" t="s">
        <v>27</v>
      </c>
    </row>
    <row r="304" spans="1:19" x14ac:dyDescent="0.35">
      <c r="A304" s="7" t="s">
        <v>666</v>
      </c>
      <c r="B304" s="5" t="s">
        <v>667</v>
      </c>
      <c r="C304" s="5" t="s">
        <v>31</v>
      </c>
      <c r="D304" s="5">
        <v>47</v>
      </c>
      <c r="E304" s="5" t="s">
        <v>55</v>
      </c>
      <c r="F304" s="5" t="s">
        <v>60</v>
      </c>
      <c r="G304" s="5" t="s">
        <v>24</v>
      </c>
      <c r="H304" s="5" t="s">
        <v>61</v>
      </c>
      <c r="I304" s="5">
        <v>12</v>
      </c>
      <c r="J304" s="5">
        <v>49196</v>
      </c>
      <c r="K304" s="5" t="s">
        <v>35</v>
      </c>
      <c r="L304" s="5">
        <v>5</v>
      </c>
      <c r="M304" s="5">
        <v>23</v>
      </c>
      <c r="N304" s="5">
        <v>5</v>
      </c>
      <c r="O304" s="5" t="s">
        <v>27</v>
      </c>
      <c r="P304" s="5" t="s">
        <v>28</v>
      </c>
      <c r="Q304" s="5">
        <v>2</v>
      </c>
      <c r="R304" s="5" t="s">
        <v>27</v>
      </c>
      <c r="S304" s="5" t="s">
        <v>27</v>
      </c>
    </row>
    <row r="305" spans="1:19" x14ac:dyDescent="0.35">
      <c r="A305" s="8" t="s">
        <v>668</v>
      </c>
      <c r="B305" s="6" t="s">
        <v>669</v>
      </c>
      <c r="C305" s="6" t="s">
        <v>31</v>
      </c>
      <c r="D305" s="6">
        <v>50</v>
      </c>
      <c r="E305" s="6" t="s">
        <v>55</v>
      </c>
      <c r="F305" s="6" t="s">
        <v>39</v>
      </c>
      <c r="G305" s="6" t="s">
        <v>24</v>
      </c>
      <c r="H305" s="6" t="s">
        <v>131</v>
      </c>
      <c r="I305" s="6">
        <v>22</v>
      </c>
      <c r="J305" s="6">
        <v>55579</v>
      </c>
      <c r="K305" s="6" t="s">
        <v>35</v>
      </c>
      <c r="L305" s="6">
        <v>2</v>
      </c>
      <c r="M305" s="6">
        <v>26</v>
      </c>
      <c r="N305" s="6">
        <v>4</v>
      </c>
      <c r="O305" s="6" t="s">
        <v>27</v>
      </c>
      <c r="P305" s="6" t="s">
        <v>27</v>
      </c>
      <c r="Q305" s="6">
        <v>2</v>
      </c>
      <c r="R305" s="6" t="s">
        <v>27</v>
      </c>
      <c r="S305" s="6" t="s">
        <v>27</v>
      </c>
    </row>
    <row r="306" spans="1:19" x14ac:dyDescent="0.35">
      <c r="A306" s="7" t="s">
        <v>670</v>
      </c>
      <c r="B306" s="5" t="s">
        <v>671</v>
      </c>
      <c r="C306" s="5" t="s">
        <v>31</v>
      </c>
      <c r="D306" s="5">
        <v>33</v>
      </c>
      <c r="E306" s="5" t="s">
        <v>38</v>
      </c>
      <c r="F306" s="5" t="s">
        <v>23</v>
      </c>
      <c r="G306" s="5" t="s">
        <v>24</v>
      </c>
      <c r="H306" s="5" t="s">
        <v>52</v>
      </c>
      <c r="I306" s="5">
        <v>9</v>
      </c>
      <c r="J306" s="5">
        <v>69845</v>
      </c>
      <c r="K306" s="5" t="s">
        <v>35</v>
      </c>
      <c r="L306" s="5">
        <v>2</v>
      </c>
      <c r="M306" s="5">
        <v>25</v>
      </c>
      <c r="N306" s="5">
        <v>5</v>
      </c>
      <c r="O306" s="5" t="s">
        <v>28</v>
      </c>
      <c r="P306" s="5" t="s">
        <v>27</v>
      </c>
      <c r="Q306" s="5">
        <v>5</v>
      </c>
      <c r="R306" s="5" t="s">
        <v>27</v>
      </c>
      <c r="S306" s="5" t="s">
        <v>28</v>
      </c>
    </row>
    <row r="307" spans="1:19" x14ac:dyDescent="0.35">
      <c r="A307" s="8" t="s">
        <v>672</v>
      </c>
      <c r="B307" s="6" t="s">
        <v>673</v>
      </c>
      <c r="C307" s="6" t="s">
        <v>21</v>
      </c>
      <c r="D307" s="6">
        <v>55</v>
      </c>
      <c r="E307" s="6" t="s">
        <v>55</v>
      </c>
      <c r="F307" s="6" t="s">
        <v>48</v>
      </c>
      <c r="G307" s="6" t="s">
        <v>24</v>
      </c>
      <c r="H307" s="6" t="s">
        <v>52</v>
      </c>
      <c r="I307" s="6">
        <v>14</v>
      </c>
      <c r="J307" s="6">
        <v>54233</v>
      </c>
      <c r="K307" s="6" t="s">
        <v>45</v>
      </c>
      <c r="L307" s="6">
        <v>7</v>
      </c>
      <c r="M307" s="6">
        <v>37</v>
      </c>
      <c r="N307" s="6">
        <v>7</v>
      </c>
      <c r="O307" s="6" t="s">
        <v>28</v>
      </c>
      <c r="P307" s="6" t="s">
        <v>28</v>
      </c>
      <c r="Q307" s="6">
        <v>2</v>
      </c>
      <c r="R307" s="6" t="s">
        <v>27</v>
      </c>
      <c r="S307" s="6" t="s">
        <v>27</v>
      </c>
    </row>
    <row r="308" spans="1:19" x14ac:dyDescent="0.35">
      <c r="A308" s="7" t="s">
        <v>674</v>
      </c>
      <c r="B308" s="5" t="s">
        <v>675</v>
      </c>
      <c r="C308" s="5" t="s">
        <v>31</v>
      </c>
      <c r="D308" s="5">
        <v>52</v>
      </c>
      <c r="E308" s="5" t="s">
        <v>55</v>
      </c>
      <c r="F308" s="5" t="s">
        <v>39</v>
      </c>
      <c r="G308" s="5" t="s">
        <v>24</v>
      </c>
      <c r="H308" s="5" t="s">
        <v>131</v>
      </c>
      <c r="I308" s="5">
        <v>14</v>
      </c>
      <c r="J308" s="5">
        <v>58367</v>
      </c>
      <c r="K308" s="5" t="s">
        <v>35</v>
      </c>
      <c r="L308" s="5">
        <v>3</v>
      </c>
      <c r="M308" s="5">
        <v>35</v>
      </c>
      <c r="N308" s="5">
        <v>6</v>
      </c>
      <c r="O308" s="5" t="s">
        <v>28</v>
      </c>
      <c r="P308" s="5" t="s">
        <v>28</v>
      </c>
      <c r="Q308" s="5">
        <v>3</v>
      </c>
      <c r="R308" s="5" t="s">
        <v>27</v>
      </c>
      <c r="S308" s="5" t="s">
        <v>27</v>
      </c>
    </row>
    <row r="309" spans="1:19" x14ac:dyDescent="0.35">
      <c r="A309" s="8" t="s">
        <v>676</v>
      </c>
      <c r="B309" s="6" t="s">
        <v>677</v>
      </c>
      <c r="C309" s="6" t="s">
        <v>21</v>
      </c>
      <c r="D309" s="6">
        <v>48</v>
      </c>
      <c r="E309" s="6" t="s">
        <v>55</v>
      </c>
      <c r="F309" s="6" t="s">
        <v>64</v>
      </c>
      <c r="G309" s="6" t="s">
        <v>24</v>
      </c>
      <c r="H309" s="6" t="s">
        <v>131</v>
      </c>
      <c r="I309" s="6">
        <v>18</v>
      </c>
      <c r="J309" s="6">
        <v>69003</v>
      </c>
      <c r="K309" s="6" t="s">
        <v>45</v>
      </c>
      <c r="L309" s="6">
        <v>6</v>
      </c>
      <c r="M309" s="6">
        <v>36</v>
      </c>
      <c r="N309" s="6">
        <v>7</v>
      </c>
      <c r="O309" s="6" t="s">
        <v>27</v>
      </c>
      <c r="P309" s="6" t="s">
        <v>27</v>
      </c>
      <c r="Q309" s="6">
        <v>1</v>
      </c>
      <c r="R309" s="6" t="s">
        <v>27</v>
      </c>
      <c r="S309" s="6" t="s">
        <v>27</v>
      </c>
    </row>
    <row r="310" spans="1:19" x14ac:dyDescent="0.35">
      <c r="A310" s="7" t="s">
        <v>678</v>
      </c>
      <c r="B310" s="5" t="s">
        <v>679</v>
      </c>
      <c r="C310" s="5" t="s">
        <v>21</v>
      </c>
      <c r="D310" s="5">
        <v>43</v>
      </c>
      <c r="E310" s="5" t="s">
        <v>55</v>
      </c>
      <c r="F310" s="5" t="s">
        <v>23</v>
      </c>
      <c r="G310" s="5" t="s">
        <v>69</v>
      </c>
      <c r="H310" s="5" t="s">
        <v>52</v>
      </c>
      <c r="I310" s="5">
        <v>15</v>
      </c>
      <c r="J310" s="5">
        <v>71614</v>
      </c>
      <c r="K310" s="5" t="s">
        <v>45</v>
      </c>
      <c r="L310" s="5">
        <v>10</v>
      </c>
      <c r="M310" s="5">
        <v>18</v>
      </c>
      <c r="N310" s="5">
        <v>1</v>
      </c>
      <c r="O310" s="5" t="s">
        <v>27</v>
      </c>
      <c r="P310" s="5" t="s">
        <v>28</v>
      </c>
      <c r="Q310" s="5">
        <v>3</v>
      </c>
      <c r="R310" s="5" t="s">
        <v>27</v>
      </c>
      <c r="S310" s="5" t="s">
        <v>27</v>
      </c>
    </row>
    <row r="311" spans="1:19" x14ac:dyDescent="0.35">
      <c r="A311" s="8" t="s">
        <v>680</v>
      </c>
      <c r="B311" s="6" t="s">
        <v>681</v>
      </c>
      <c r="C311" s="6" t="s">
        <v>31</v>
      </c>
      <c r="D311" s="6">
        <v>22</v>
      </c>
      <c r="E311" s="6" t="s">
        <v>38</v>
      </c>
      <c r="F311" s="6" t="s">
        <v>64</v>
      </c>
      <c r="G311" s="6" t="s">
        <v>24</v>
      </c>
      <c r="H311" s="6" t="s">
        <v>70</v>
      </c>
      <c r="I311" s="6">
        <v>1</v>
      </c>
      <c r="J311" s="6">
        <v>64029</v>
      </c>
      <c r="K311" s="6" t="s">
        <v>35</v>
      </c>
      <c r="L311" s="6">
        <v>9</v>
      </c>
      <c r="M311" s="6">
        <v>34</v>
      </c>
      <c r="N311" s="6">
        <v>3</v>
      </c>
      <c r="O311" s="6" t="s">
        <v>27</v>
      </c>
      <c r="P311" s="6" t="s">
        <v>28</v>
      </c>
      <c r="Q311" s="6">
        <v>1</v>
      </c>
      <c r="R311" s="6" t="s">
        <v>28</v>
      </c>
      <c r="S311" s="6" t="s">
        <v>27</v>
      </c>
    </row>
    <row r="312" spans="1:19" x14ac:dyDescent="0.35">
      <c r="A312" s="7" t="s">
        <v>682</v>
      </c>
      <c r="B312" s="5" t="s">
        <v>683</v>
      </c>
      <c r="C312" s="5" t="s">
        <v>31</v>
      </c>
      <c r="D312" s="5">
        <v>43</v>
      </c>
      <c r="E312" s="5" t="s">
        <v>55</v>
      </c>
      <c r="F312" s="5" t="s">
        <v>23</v>
      </c>
      <c r="G312" s="5" t="s">
        <v>24</v>
      </c>
      <c r="H312" s="5" t="s">
        <v>49</v>
      </c>
      <c r="I312" s="5">
        <v>16</v>
      </c>
      <c r="J312" s="5">
        <v>78449</v>
      </c>
      <c r="K312" s="5" t="s">
        <v>45</v>
      </c>
      <c r="L312" s="5">
        <v>3</v>
      </c>
      <c r="M312" s="5">
        <v>33</v>
      </c>
      <c r="N312" s="5">
        <v>5</v>
      </c>
      <c r="O312" s="5" t="s">
        <v>27</v>
      </c>
      <c r="P312" s="5" t="s">
        <v>28</v>
      </c>
      <c r="Q312" s="5">
        <v>1</v>
      </c>
      <c r="R312" s="5" t="s">
        <v>28</v>
      </c>
      <c r="S312" s="5" t="s">
        <v>27</v>
      </c>
    </row>
    <row r="313" spans="1:19" x14ac:dyDescent="0.35">
      <c r="A313" s="8" t="s">
        <v>684</v>
      </c>
      <c r="B313" s="6" t="s">
        <v>685</v>
      </c>
      <c r="C313" s="6" t="s">
        <v>31</v>
      </c>
      <c r="D313" s="6">
        <v>45</v>
      </c>
      <c r="E313" s="6" t="s">
        <v>55</v>
      </c>
      <c r="F313" s="6" t="s">
        <v>39</v>
      </c>
      <c r="G313" s="6" t="s">
        <v>24</v>
      </c>
      <c r="H313" s="6" t="s">
        <v>34</v>
      </c>
      <c r="I313" s="6">
        <v>12</v>
      </c>
      <c r="J313" s="6">
        <v>64465</v>
      </c>
      <c r="K313" s="6" t="s">
        <v>35</v>
      </c>
      <c r="L313" s="6">
        <v>6</v>
      </c>
      <c r="M313" s="6">
        <v>7</v>
      </c>
      <c r="N313" s="6">
        <v>1</v>
      </c>
      <c r="O313" s="6" t="s">
        <v>27</v>
      </c>
      <c r="P313" s="6" t="s">
        <v>28</v>
      </c>
      <c r="Q313" s="6">
        <v>4</v>
      </c>
      <c r="R313" s="6" t="s">
        <v>28</v>
      </c>
      <c r="S313" s="6" t="s">
        <v>27</v>
      </c>
    </row>
    <row r="314" spans="1:19" x14ac:dyDescent="0.35">
      <c r="A314" s="7" t="s">
        <v>686</v>
      </c>
      <c r="B314" s="5" t="s">
        <v>687</v>
      </c>
      <c r="C314" s="5" t="s">
        <v>21</v>
      </c>
      <c r="D314" s="5">
        <v>22</v>
      </c>
      <c r="E314" s="5" t="s">
        <v>38</v>
      </c>
      <c r="F314" s="5" t="s">
        <v>48</v>
      </c>
      <c r="G314" s="5" t="s">
        <v>24</v>
      </c>
      <c r="H314" s="5" t="s">
        <v>49</v>
      </c>
      <c r="I314" s="5">
        <v>1</v>
      </c>
      <c r="J314" s="5">
        <v>51353</v>
      </c>
      <c r="K314" s="5" t="s">
        <v>40</v>
      </c>
      <c r="L314" s="5">
        <v>8</v>
      </c>
      <c r="M314" s="5">
        <v>34</v>
      </c>
      <c r="N314" s="5">
        <v>5</v>
      </c>
      <c r="O314" s="5" t="s">
        <v>28</v>
      </c>
      <c r="P314" s="5" t="s">
        <v>27</v>
      </c>
      <c r="Q314" s="5">
        <v>5</v>
      </c>
      <c r="R314" s="5" t="s">
        <v>27</v>
      </c>
      <c r="S314" s="5" t="s">
        <v>27</v>
      </c>
    </row>
    <row r="315" spans="1:19" x14ac:dyDescent="0.35">
      <c r="A315" s="8" t="s">
        <v>688</v>
      </c>
      <c r="B315" s="6" t="s">
        <v>689</v>
      </c>
      <c r="C315" s="6" t="s">
        <v>21</v>
      </c>
      <c r="D315" s="6">
        <v>49</v>
      </c>
      <c r="E315" s="6" t="s">
        <v>22</v>
      </c>
      <c r="F315" s="6" t="s">
        <v>39</v>
      </c>
      <c r="G315" s="6" t="s">
        <v>24</v>
      </c>
      <c r="H315" s="6" t="s">
        <v>52</v>
      </c>
      <c r="I315" s="6">
        <v>19</v>
      </c>
      <c r="J315" s="6">
        <v>62217</v>
      </c>
      <c r="K315" s="6" t="s">
        <v>35</v>
      </c>
      <c r="L315" s="6">
        <v>10</v>
      </c>
      <c r="M315" s="6">
        <v>42</v>
      </c>
      <c r="N315" s="6">
        <v>3</v>
      </c>
      <c r="O315" s="6" t="s">
        <v>27</v>
      </c>
      <c r="P315" s="6" t="s">
        <v>28</v>
      </c>
      <c r="Q315" s="6">
        <v>1</v>
      </c>
      <c r="R315" s="6" t="s">
        <v>28</v>
      </c>
      <c r="S315" s="6" t="s">
        <v>27</v>
      </c>
    </row>
    <row r="316" spans="1:19" x14ac:dyDescent="0.35">
      <c r="A316" s="7" t="s">
        <v>690</v>
      </c>
      <c r="B316" s="5" t="s">
        <v>691</v>
      </c>
      <c r="C316" s="5" t="s">
        <v>21</v>
      </c>
      <c r="D316" s="5">
        <v>53</v>
      </c>
      <c r="E316" s="5" t="s">
        <v>55</v>
      </c>
      <c r="F316" s="5" t="s">
        <v>48</v>
      </c>
      <c r="G316" s="5" t="s">
        <v>24</v>
      </c>
      <c r="H316" s="5" t="s">
        <v>61</v>
      </c>
      <c r="I316" s="5">
        <v>27</v>
      </c>
      <c r="J316" s="5">
        <v>56205</v>
      </c>
      <c r="K316" s="5" t="s">
        <v>45</v>
      </c>
      <c r="L316" s="5">
        <v>3</v>
      </c>
      <c r="M316" s="5">
        <v>37</v>
      </c>
      <c r="N316" s="5">
        <v>6</v>
      </c>
      <c r="O316" s="5" t="s">
        <v>28</v>
      </c>
      <c r="P316" s="5" t="s">
        <v>28</v>
      </c>
      <c r="Q316" s="5">
        <v>3</v>
      </c>
      <c r="R316" s="5" t="s">
        <v>28</v>
      </c>
      <c r="S316" s="5" t="s">
        <v>28</v>
      </c>
    </row>
    <row r="317" spans="1:19" x14ac:dyDescent="0.35">
      <c r="A317" s="8" t="s">
        <v>695</v>
      </c>
      <c r="B317" s="6" t="s">
        <v>696</v>
      </c>
      <c r="C317" s="6" t="s">
        <v>31</v>
      </c>
      <c r="D317" s="6">
        <v>26</v>
      </c>
      <c r="E317" s="6" t="s">
        <v>38</v>
      </c>
      <c r="F317" s="6" t="s">
        <v>39</v>
      </c>
      <c r="G317" s="6" t="s">
        <v>24</v>
      </c>
      <c r="H317" s="6" t="s">
        <v>49</v>
      </c>
      <c r="I317" s="6">
        <v>3</v>
      </c>
      <c r="J317" s="6">
        <v>62151</v>
      </c>
      <c r="K317" s="6" t="s">
        <v>45</v>
      </c>
      <c r="L317" s="6">
        <v>10</v>
      </c>
      <c r="M317" s="6">
        <v>8</v>
      </c>
      <c r="N317" s="6">
        <v>3</v>
      </c>
      <c r="O317" s="6" t="s">
        <v>28</v>
      </c>
      <c r="P317" s="6" t="s">
        <v>28</v>
      </c>
      <c r="Q317" s="6">
        <v>1</v>
      </c>
      <c r="R317" s="6" t="s">
        <v>28</v>
      </c>
      <c r="S317" s="6" t="s">
        <v>27</v>
      </c>
    </row>
    <row r="318" spans="1:19" x14ac:dyDescent="0.35">
      <c r="A318" s="7" t="s">
        <v>697</v>
      </c>
      <c r="B318" s="5" t="s">
        <v>698</v>
      </c>
      <c r="C318" s="5" t="s">
        <v>21</v>
      </c>
      <c r="D318" s="5">
        <v>21</v>
      </c>
      <c r="E318" s="5" t="s">
        <v>38</v>
      </c>
      <c r="F318" s="5" t="s">
        <v>60</v>
      </c>
      <c r="G318" s="5" t="s">
        <v>69</v>
      </c>
      <c r="H318" s="5" t="s">
        <v>25</v>
      </c>
      <c r="I318" s="5">
        <v>0</v>
      </c>
      <c r="J318" s="5">
        <v>63922</v>
      </c>
      <c r="K318" s="5" t="s">
        <v>45</v>
      </c>
      <c r="L318" s="5">
        <v>5</v>
      </c>
      <c r="M318" s="5">
        <v>53</v>
      </c>
      <c r="N318" s="5">
        <v>5</v>
      </c>
      <c r="O318" s="5" t="s">
        <v>27</v>
      </c>
      <c r="P318" s="5" t="s">
        <v>28</v>
      </c>
      <c r="Q318" s="5">
        <v>2</v>
      </c>
      <c r="R318" s="5" t="s">
        <v>28</v>
      </c>
      <c r="S318" s="5" t="s">
        <v>27</v>
      </c>
    </row>
    <row r="319" spans="1:19" x14ac:dyDescent="0.35">
      <c r="A319" s="8" t="s">
        <v>699</v>
      </c>
      <c r="B319" s="6" t="s">
        <v>700</v>
      </c>
      <c r="C319" s="6" t="s">
        <v>21</v>
      </c>
      <c r="D319" s="6">
        <v>53</v>
      </c>
      <c r="E319" s="6" t="s">
        <v>38</v>
      </c>
      <c r="F319" s="6" t="s">
        <v>23</v>
      </c>
      <c r="G319" s="6" t="s">
        <v>24</v>
      </c>
      <c r="H319" s="6" t="s">
        <v>25</v>
      </c>
      <c r="I319" s="6">
        <v>24</v>
      </c>
      <c r="J319" s="6">
        <v>82000</v>
      </c>
      <c r="K319" s="6" t="s">
        <v>45</v>
      </c>
      <c r="L319" s="6">
        <v>10</v>
      </c>
      <c r="M319" s="6">
        <v>37</v>
      </c>
      <c r="N319" s="6">
        <v>4</v>
      </c>
      <c r="O319" s="6" t="s">
        <v>27</v>
      </c>
      <c r="P319" s="6" t="s">
        <v>28</v>
      </c>
      <c r="Q319" s="6">
        <v>3</v>
      </c>
      <c r="R319" s="6" t="s">
        <v>27</v>
      </c>
      <c r="S319" s="6" t="s">
        <v>27</v>
      </c>
    </row>
    <row r="320" spans="1:19" x14ac:dyDescent="0.35">
      <c r="A320" s="7" t="s">
        <v>701</v>
      </c>
      <c r="B320" s="5" t="s">
        <v>702</v>
      </c>
      <c r="C320" s="5" t="s">
        <v>21</v>
      </c>
      <c r="D320" s="5">
        <v>33</v>
      </c>
      <c r="E320" s="5" t="s">
        <v>38</v>
      </c>
      <c r="F320" s="5" t="s">
        <v>64</v>
      </c>
      <c r="G320" s="5" t="s">
        <v>24</v>
      </c>
      <c r="H320" s="5" t="s">
        <v>25</v>
      </c>
      <c r="I320" s="5">
        <v>6</v>
      </c>
      <c r="J320" s="5">
        <v>69683</v>
      </c>
      <c r="K320" s="5" t="s">
        <v>26</v>
      </c>
      <c r="L320" s="5">
        <v>10</v>
      </c>
      <c r="M320" s="5">
        <v>28</v>
      </c>
      <c r="N320" s="5">
        <v>3</v>
      </c>
      <c r="O320" s="5" t="s">
        <v>28</v>
      </c>
      <c r="P320" s="5" t="s">
        <v>27</v>
      </c>
      <c r="Q320" s="5">
        <v>4</v>
      </c>
      <c r="R320" s="5" t="s">
        <v>28</v>
      </c>
      <c r="S320" s="5" t="s">
        <v>27</v>
      </c>
    </row>
    <row r="321" spans="1:19" x14ac:dyDescent="0.35">
      <c r="A321" s="8" t="s">
        <v>703</v>
      </c>
      <c r="B321" s="6" t="s">
        <v>704</v>
      </c>
      <c r="C321" s="6" t="s">
        <v>31</v>
      </c>
      <c r="D321" s="6">
        <v>50</v>
      </c>
      <c r="E321" s="6" t="s">
        <v>38</v>
      </c>
      <c r="F321" s="6" t="s">
        <v>60</v>
      </c>
      <c r="G321" s="6" t="s">
        <v>24</v>
      </c>
      <c r="H321" s="6" t="s">
        <v>131</v>
      </c>
      <c r="I321" s="6">
        <v>12</v>
      </c>
      <c r="J321" s="6">
        <v>55290</v>
      </c>
      <c r="K321" s="6" t="s">
        <v>35</v>
      </c>
      <c r="L321" s="6">
        <v>8</v>
      </c>
      <c r="M321" s="6">
        <v>12</v>
      </c>
      <c r="N321" s="6">
        <v>6</v>
      </c>
      <c r="O321" s="6" t="s">
        <v>28</v>
      </c>
      <c r="P321" s="6" t="s">
        <v>28</v>
      </c>
      <c r="Q321" s="6">
        <v>4</v>
      </c>
      <c r="R321" s="6" t="s">
        <v>27</v>
      </c>
      <c r="S321" s="6" t="s">
        <v>27</v>
      </c>
    </row>
    <row r="322" spans="1:19" x14ac:dyDescent="0.35">
      <c r="A322" s="7" t="s">
        <v>705</v>
      </c>
      <c r="B322" s="5" t="s">
        <v>706</v>
      </c>
      <c r="C322" s="5" t="s">
        <v>31</v>
      </c>
      <c r="D322" s="5">
        <v>40</v>
      </c>
      <c r="E322" s="5" t="s">
        <v>55</v>
      </c>
      <c r="F322" s="5" t="s">
        <v>23</v>
      </c>
      <c r="G322" s="5" t="s">
        <v>24</v>
      </c>
      <c r="H322" s="5" t="s">
        <v>25</v>
      </c>
      <c r="I322" s="5">
        <v>15</v>
      </c>
      <c r="J322" s="5">
        <v>64736</v>
      </c>
      <c r="K322" s="5" t="s">
        <v>45</v>
      </c>
      <c r="L322" s="5">
        <v>9</v>
      </c>
      <c r="M322" s="5">
        <v>24</v>
      </c>
      <c r="N322" s="5">
        <v>3</v>
      </c>
      <c r="O322" s="5" t="s">
        <v>27</v>
      </c>
      <c r="P322" s="5" t="s">
        <v>27</v>
      </c>
      <c r="Q322" s="5">
        <v>2</v>
      </c>
      <c r="R322" s="5" t="s">
        <v>27</v>
      </c>
      <c r="S322" s="5" t="s">
        <v>27</v>
      </c>
    </row>
    <row r="323" spans="1:19" x14ac:dyDescent="0.35">
      <c r="A323" s="8" t="s">
        <v>707</v>
      </c>
      <c r="B323" s="6" t="s">
        <v>708</v>
      </c>
      <c r="C323" s="6" t="s">
        <v>31</v>
      </c>
      <c r="D323" s="6">
        <v>44</v>
      </c>
      <c r="E323" s="6" t="s">
        <v>55</v>
      </c>
      <c r="F323" s="6" t="s">
        <v>48</v>
      </c>
      <c r="G323" s="6" t="s">
        <v>24</v>
      </c>
      <c r="H323" s="6" t="s">
        <v>25</v>
      </c>
      <c r="I323" s="6">
        <v>17</v>
      </c>
      <c r="J323" s="6">
        <v>57115</v>
      </c>
      <c r="K323" s="6" t="s">
        <v>26</v>
      </c>
      <c r="L323" s="6">
        <v>1</v>
      </c>
      <c r="M323" s="6">
        <v>36</v>
      </c>
      <c r="N323" s="6">
        <v>4</v>
      </c>
      <c r="O323" s="6" t="s">
        <v>28</v>
      </c>
      <c r="P323" s="6" t="s">
        <v>28</v>
      </c>
      <c r="Q323" s="6">
        <v>5</v>
      </c>
      <c r="R323" s="6" t="s">
        <v>28</v>
      </c>
      <c r="S323" s="6" t="s">
        <v>27</v>
      </c>
    </row>
    <row r="324" spans="1:19" x14ac:dyDescent="0.35">
      <c r="A324" s="7" t="s">
        <v>709</v>
      </c>
      <c r="B324" s="5" t="s">
        <v>710</v>
      </c>
      <c r="C324" s="5" t="s">
        <v>21</v>
      </c>
      <c r="D324" s="5">
        <v>54</v>
      </c>
      <c r="E324" s="5" t="s">
        <v>38</v>
      </c>
      <c r="F324" s="5" t="s">
        <v>39</v>
      </c>
      <c r="G324" s="5" t="s">
        <v>24</v>
      </c>
      <c r="H324" s="5" t="s">
        <v>49</v>
      </c>
      <c r="I324" s="5">
        <v>14</v>
      </c>
      <c r="J324" s="5">
        <v>71094</v>
      </c>
      <c r="K324" s="5" t="s">
        <v>45</v>
      </c>
      <c r="L324" s="5">
        <v>9</v>
      </c>
      <c r="M324" s="5">
        <v>33</v>
      </c>
      <c r="N324" s="5">
        <v>4</v>
      </c>
      <c r="O324" s="5" t="s">
        <v>27</v>
      </c>
      <c r="P324" s="5" t="s">
        <v>27</v>
      </c>
      <c r="Q324" s="5">
        <v>4</v>
      </c>
      <c r="R324" s="5" t="s">
        <v>27</v>
      </c>
      <c r="S324" s="5" t="s">
        <v>27</v>
      </c>
    </row>
    <row r="325" spans="1:19" x14ac:dyDescent="0.35">
      <c r="A325" s="8" t="s">
        <v>711</v>
      </c>
      <c r="B325" s="6" t="s">
        <v>712</v>
      </c>
      <c r="C325" s="6" t="s">
        <v>21</v>
      </c>
      <c r="D325" s="6">
        <v>27</v>
      </c>
      <c r="E325" s="6" t="s">
        <v>38</v>
      </c>
      <c r="F325" s="6" t="s">
        <v>60</v>
      </c>
      <c r="G325" s="6" t="s">
        <v>24</v>
      </c>
      <c r="H325" s="6" t="s">
        <v>131</v>
      </c>
      <c r="I325" s="6">
        <v>3</v>
      </c>
      <c r="J325" s="6">
        <v>48081</v>
      </c>
      <c r="K325" s="6" t="s">
        <v>26</v>
      </c>
      <c r="L325" s="6">
        <v>3</v>
      </c>
      <c r="M325" s="6">
        <v>31</v>
      </c>
      <c r="N325" s="6">
        <v>2</v>
      </c>
      <c r="O325" s="6" t="s">
        <v>27</v>
      </c>
      <c r="P325" s="6" t="s">
        <v>27</v>
      </c>
      <c r="Q325" s="6">
        <v>5</v>
      </c>
      <c r="R325" s="6" t="s">
        <v>28</v>
      </c>
      <c r="S325" s="6" t="s">
        <v>27</v>
      </c>
    </row>
    <row r="326" spans="1:19" x14ac:dyDescent="0.35">
      <c r="A326" s="7" t="s">
        <v>713</v>
      </c>
      <c r="B326" s="5" t="s">
        <v>714</v>
      </c>
      <c r="C326" s="5" t="s">
        <v>31</v>
      </c>
      <c r="D326" s="5">
        <v>49</v>
      </c>
      <c r="E326" s="5" t="s">
        <v>55</v>
      </c>
      <c r="F326" s="5" t="s">
        <v>43</v>
      </c>
      <c r="G326" s="5" t="s">
        <v>44</v>
      </c>
      <c r="H326" s="5" t="s">
        <v>49</v>
      </c>
      <c r="I326" s="5">
        <v>13</v>
      </c>
      <c r="J326" s="5">
        <v>74534</v>
      </c>
      <c r="K326" s="5" t="s">
        <v>45</v>
      </c>
      <c r="L326" s="5">
        <v>3</v>
      </c>
      <c r="M326" s="5">
        <v>60</v>
      </c>
      <c r="N326" s="5">
        <v>2</v>
      </c>
      <c r="O326" s="5" t="s">
        <v>27</v>
      </c>
      <c r="P326" s="5" t="s">
        <v>28</v>
      </c>
      <c r="Q326" s="5">
        <v>5</v>
      </c>
      <c r="R326" s="5" t="s">
        <v>27</v>
      </c>
      <c r="S326" s="5" t="s">
        <v>27</v>
      </c>
    </row>
    <row r="327" spans="1:19" x14ac:dyDescent="0.35">
      <c r="A327" s="8" t="s">
        <v>715</v>
      </c>
      <c r="B327" s="6" t="s">
        <v>716</v>
      </c>
      <c r="C327" s="6" t="s">
        <v>31</v>
      </c>
      <c r="D327" s="6">
        <v>53</v>
      </c>
      <c r="E327" s="6" t="s">
        <v>55</v>
      </c>
      <c r="F327" s="6" t="s">
        <v>43</v>
      </c>
      <c r="G327" s="6" t="s">
        <v>24</v>
      </c>
      <c r="H327" s="6" t="s">
        <v>25</v>
      </c>
      <c r="I327" s="6">
        <v>22</v>
      </c>
      <c r="J327" s="6">
        <v>82000</v>
      </c>
      <c r="K327" s="6" t="s">
        <v>26</v>
      </c>
      <c r="L327" s="6">
        <v>1</v>
      </c>
      <c r="M327" s="6">
        <v>26</v>
      </c>
      <c r="N327" s="6">
        <v>4</v>
      </c>
      <c r="O327" s="6" t="s">
        <v>27</v>
      </c>
      <c r="P327" s="6" t="s">
        <v>28</v>
      </c>
      <c r="Q327" s="6">
        <v>4</v>
      </c>
      <c r="R327" s="6" t="s">
        <v>27</v>
      </c>
      <c r="S327" s="6" t="s">
        <v>27</v>
      </c>
    </row>
    <row r="328" spans="1:19" x14ac:dyDescent="0.35">
      <c r="A328" s="7" t="s">
        <v>717</v>
      </c>
      <c r="B328" s="5" t="s">
        <v>718</v>
      </c>
      <c r="C328" s="5" t="s">
        <v>31</v>
      </c>
      <c r="D328" s="5">
        <v>55</v>
      </c>
      <c r="E328" s="5" t="s">
        <v>32</v>
      </c>
      <c r="F328" s="5" t="s">
        <v>64</v>
      </c>
      <c r="G328" s="5" t="s">
        <v>24</v>
      </c>
      <c r="H328" s="5" t="s">
        <v>52</v>
      </c>
      <c r="I328" s="5">
        <v>16</v>
      </c>
      <c r="J328" s="5">
        <v>59209</v>
      </c>
      <c r="K328" s="5" t="s">
        <v>35</v>
      </c>
      <c r="L328" s="5">
        <v>2</v>
      </c>
      <c r="M328" s="5">
        <v>45</v>
      </c>
      <c r="N328" s="5">
        <v>4</v>
      </c>
      <c r="O328" s="5" t="s">
        <v>28</v>
      </c>
      <c r="P328" s="5" t="s">
        <v>27</v>
      </c>
      <c r="Q328" s="5">
        <v>4</v>
      </c>
      <c r="R328" s="5" t="s">
        <v>28</v>
      </c>
      <c r="S328" s="5" t="s">
        <v>27</v>
      </c>
    </row>
    <row r="329" spans="1:19" x14ac:dyDescent="0.35">
      <c r="A329" s="8" t="s">
        <v>719</v>
      </c>
      <c r="B329" s="6" t="s">
        <v>720</v>
      </c>
      <c r="C329" s="6" t="s">
        <v>21</v>
      </c>
      <c r="D329" s="6">
        <v>25</v>
      </c>
      <c r="E329" s="6" t="s">
        <v>38</v>
      </c>
      <c r="F329" s="6" t="s">
        <v>39</v>
      </c>
      <c r="G329" s="6" t="s">
        <v>24</v>
      </c>
      <c r="H329" s="6" t="s">
        <v>34</v>
      </c>
      <c r="I329" s="6">
        <v>3</v>
      </c>
      <c r="J329" s="6">
        <v>50468</v>
      </c>
      <c r="K329" s="6" t="s">
        <v>45</v>
      </c>
      <c r="L329" s="6">
        <v>4</v>
      </c>
      <c r="M329" s="6">
        <v>12</v>
      </c>
      <c r="N329" s="6">
        <v>4</v>
      </c>
      <c r="O329" s="6" t="s">
        <v>28</v>
      </c>
      <c r="P329" s="6" t="s">
        <v>28</v>
      </c>
      <c r="Q329" s="6">
        <v>3</v>
      </c>
      <c r="R329" s="6" t="s">
        <v>27</v>
      </c>
      <c r="S329" s="6" t="s">
        <v>27</v>
      </c>
    </row>
    <row r="330" spans="1:19" x14ac:dyDescent="0.35">
      <c r="A330" s="7" t="s">
        <v>721</v>
      </c>
      <c r="B330" s="5" t="s">
        <v>722</v>
      </c>
      <c r="C330" s="5" t="s">
        <v>21</v>
      </c>
      <c r="D330" s="5">
        <v>46</v>
      </c>
      <c r="E330" s="5" t="s">
        <v>32</v>
      </c>
      <c r="F330" s="5" t="s">
        <v>48</v>
      </c>
      <c r="G330" s="5" t="s">
        <v>44</v>
      </c>
      <c r="H330" s="5" t="s">
        <v>61</v>
      </c>
      <c r="I330" s="5">
        <v>10</v>
      </c>
      <c r="J330" s="5">
        <v>48626</v>
      </c>
      <c r="K330" s="5" t="s">
        <v>26</v>
      </c>
      <c r="L330" s="5">
        <v>6</v>
      </c>
      <c r="M330" s="5">
        <v>25</v>
      </c>
      <c r="N330" s="5">
        <v>6</v>
      </c>
      <c r="O330" s="5" t="s">
        <v>28</v>
      </c>
      <c r="P330" s="5" t="s">
        <v>27</v>
      </c>
      <c r="Q330" s="5">
        <v>4</v>
      </c>
      <c r="R330" s="5" t="s">
        <v>27</v>
      </c>
      <c r="S330" s="5" t="s">
        <v>27</v>
      </c>
    </row>
    <row r="331" spans="1:19" x14ac:dyDescent="0.35">
      <c r="A331" s="8" t="s">
        <v>723</v>
      </c>
      <c r="B331" s="6" t="s">
        <v>724</v>
      </c>
      <c r="C331" s="6" t="s">
        <v>31</v>
      </c>
      <c r="D331" s="6">
        <v>23</v>
      </c>
      <c r="E331" s="6" t="s">
        <v>38</v>
      </c>
      <c r="F331" s="6" t="s">
        <v>23</v>
      </c>
      <c r="G331" s="6" t="s">
        <v>24</v>
      </c>
      <c r="H331" s="6" t="s">
        <v>70</v>
      </c>
      <c r="I331" s="6">
        <v>2</v>
      </c>
      <c r="J331" s="6">
        <v>64293</v>
      </c>
      <c r="K331" s="6" t="s">
        <v>45</v>
      </c>
      <c r="L331" s="6">
        <v>6</v>
      </c>
      <c r="M331" s="6">
        <v>31</v>
      </c>
      <c r="N331" s="6">
        <v>1</v>
      </c>
      <c r="O331" s="6" t="s">
        <v>27</v>
      </c>
      <c r="P331" s="6" t="s">
        <v>27</v>
      </c>
      <c r="Q331" s="6">
        <v>3</v>
      </c>
      <c r="R331" s="6" t="s">
        <v>27</v>
      </c>
      <c r="S331" s="6" t="s">
        <v>28</v>
      </c>
    </row>
    <row r="332" spans="1:19" x14ac:dyDescent="0.35">
      <c r="A332" s="7" t="s">
        <v>725</v>
      </c>
      <c r="B332" s="5" t="s">
        <v>726</v>
      </c>
      <c r="C332" s="5" t="s">
        <v>21</v>
      </c>
      <c r="D332" s="5">
        <v>36</v>
      </c>
      <c r="E332" s="5" t="s">
        <v>32</v>
      </c>
      <c r="F332" s="5" t="s">
        <v>39</v>
      </c>
      <c r="G332" s="5" t="s">
        <v>44</v>
      </c>
      <c r="H332" s="5" t="s">
        <v>131</v>
      </c>
      <c r="I332" s="5">
        <v>7</v>
      </c>
      <c r="J332" s="5">
        <v>68474</v>
      </c>
      <c r="K332" s="5" t="s">
        <v>45</v>
      </c>
      <c r="L332" s="5">
        <v>7</v>
      </c>
      <c r="M332" s="5">
        <v>52</v>
      </c>
      <c r="N332" s="5">
        <v>3</v>
      </c>
      <c r="O332" s="5" t="s">
        <v>27</v>
      </c>
      <c r="P332" s="5" t="s">
        <v>27</v>
      </c>
      <c r="Q332" s="5">
        <v>5</v>
      </c>
      <c r="R332" s="5" t="s">
        <v>28</v>
      </c>
      <c r="S332" s="5" t="s">
        <v>27</v>
      </c>
    </row>
    <row r="333" spans="1:19" x14ac:dyDescent="0.35">
      <c r="A333" s="8" t="s">
        <v>727</v>
      </c>
      <c r="B333" s="6" t="s">
        <v>728</v>
      </c>
      <c r="C333" s="6" t="s">
        <v>21</v>
      </c>
      <c r="D333" s="6">
        <v>36</v>
      </c>
      <c r="E333" s="6" t="s">
        <v>32</v>
      </c>
      <c r="F333" s="6" t="s">
        <v>33</v>
      </c>
      <c r="G333" s="6" t="s">
        <v>24</v>
      </c>
      <c r="H333" s="6" t="s">
        <v>70</v>
      </c>
      <c r="I333" s="6">
        <v>10</v>
      </c>
      <c r="J333" s="6">
        <v>67174</v>
      </c>
      <c r="K333" s="6" t="s">
        <v>35</v>
      </c>
      <c r="L333" s="6">
        <v>6</v>
      </c>
      <c r="M333" s="6">
        <v>42</v>
      </c>
      <c r="N333" s="6">
        <v>5</v>
      </c>
      <c r="O333" s="6" t="s">
        <v>28</v>
      </c>
      <c r="P333" s="6" t="s">
        <v>28</v>
      </c>
      <c r="Q333" s="6">
        <v>4</v>
      </c>
      <c r="R333" s="6" t="s">
        <v>27</v>
      </c>
      <c r="S333" s="6" t="s">
        <v>28</v>
      </c>
    </row>
    <row r="334" spans="1:19" x14ac:dyDescent="0.35">
      <c r="A334" s="7" t="s">
        <v>729</v>
      </c>
      <c r="B334" s="5" t="s">
        <v>730</v>
      </c>
      <c r="C334" s="5" t="s">
        <v>21</v>
      </c>
      <c r="D334" s="5">
        <v>42</v>
      </c>
      <c r="E334" s="5" t="s">
        <v>38</v>
      </c>
      <c r="F334" s="5" t="s">
        <v>43</v>
      </c>
      <c r="G334" s="5" t="s">
        <v>24</v>
      </c>
      <c r="H334" s="5" t="s">
        <v>49</v>
      </c>
      <c r="I334" s="5">
        <v>17</v>
      </c>
      <c r="J334" s="5">
        <v>72368</v>
      </c>
      <c r="K334" s="5" t="s">
        <v>40</v>
      </c>
      <c r="L334" s="5">
        <v>9</v>
      </c>
      <c r="M334" s="5">
        <v>27</v>
      </c>
      <c r="N334" s="5">
        <v>3</v>
      </c>
      <c r="O334" s="5" t="s">
        <v>27</v>
      </c>
      <c r="P334" s="5" t="s">
        <v>27</v>
      </c>
      <c r="Q334" s="5">
        <v>3</v>
      </c>
      <c r="R334" s="5" t="s">
        <v>27</v>
      </c>
      <c r="S334" s="5" t="s">
        <v>27</v>
      </c>
    </row>
    <row r="335" spans="1:19" x14ac:dyDescent="0.35">
      <c r="A335" s="8" t="s">
        <v>731</v>
      </c>
      <c r="B335" s="6" t="s">
        <v>732</v>
      </c>
      <c r="C335" s="6" t="s">
        <v>31</v>
      </c>
      <c r="D335" s="6">
        <v>30</v>
      </c>
      <c r="E335" s="6" t="s">
        <v>55</v>
      </c>
      <c r="F335" s="6" t="s">
        <v>33</v>
      </c>
      <c r="G335" s="6" t="s">
        <v>24</v>
      </c>
      <c r="H335" s="6" t="s">
        <v>49</v>
      </c>
      <c r="I335" s="6">
        <v>6</v>
      </c>
      <c r="J335" s="6">
        <v>44999</v>
      </c>
      <c r="K335" s="6" t="s">
        <v>26</v>
      </c>
      <c r="L335" s="6">
        <v>7</v>
      </c>
      <c r="M335" s="6">
        <v>44</v>
      </c>
      <c r="N335" s="6">
        <v>6</v>
      </c>
      <c r="O335" s="6" t="s">
        <v>27</v>
      </c>
      <c r="P335" s="6" t="s">
        <v>28</v>
      </c>
      <c r="Q335" s="6">
        <v>2</v>
      </c>
      <c r="R335" s="6" t="s">
        <v>27</v>
      </c>
      <c r="S335" s="6" t="s">
        <v>27</v>
      </c>
    </row>
    <row r="336" spans="1:19" x14ac:dyDescent="0.35">
      <c r="A336" s="7" t="s">
        <v>733</v>
      </c>
      <c r="B336" s="5" t="s">
        <v>734</v>
      </c>
      <c r="C336" s="5" t="s">
        <v>31</v>
      </c>
      <c r="D336" s="5">
        <v>40</v>
      </c>
      <c r="E336" s="5" t="s">
        <v>38</v>
      </c>
      <c r="F336" s="5" t="s">
        <v>39</v>
      </c>
      <c r="G336" s="5" t="s">
        <v>44</v>
      </c>
      <c r="H336" s="5" t="s">
        <v>52</v>
      </c>
      <c r="I336" s="5">
        <v>15</v>
      </c>
      <c r="J336" s="5">
        <v>61212</v>
      </c>
      <c r="K336" s="5" t="s">
        <v>45</v>
      </c>
      <c r="L336" s="5">
        <v>7</v>
      </c>
      <c r="M336" s="5">
        <v>39</v>
      </c>
      <c r="N336" s="5">
        <v>5</v>
      </c>
      <c r="O336" s="5" t="s">
        <v>28</v>
      </c>
      <c r="P336" s="5" t="s">
        <v>28</v>
      </c>
      <c r="Q336" s="5">
        <v>4</v>
      </c>
      <c r="R336" s="5" t="s">
        <v>28</v>
      </c>
      <c r="S336" s="5" t="s">
        <v>27</v>
      </c>
    </row>
    <row r="337" spans="1:19" x14ac:dyDescent="0.35">
      <c r="A337" s="8" t="s">
        <v>735</v>
      </c>
      <c r="B337" s="6" t="s">
        <v>736</v>
      </c>
      <c r="C337" s="6" t="s">
        <v>31</v>
      </c>
      <c r="D337" s="6">
        <v>36</v>
      </c>
      <c r="E337" s="6" t="s">
        <v>55</v>
      </c>
      <c r="F337" s="6" t="s">
        <v>39</v>
      </c>
      <c r="G337" s="6" t="s">
        <v>24</v>
      </c>
      <c r="H337" s="6" t="s">
        <v>70</v>
      </c>
      <c r="I337" s="6">
        <v>10</v>
      </c>
      <c r="J337" s="6">
        <v>51156</v>
      </c>
      <c r="K337" s="6" t="s">
        <v>35</v>
      </c>
      <c r="L337" s="6">
        <v>8</v>
      </c>
      <c r="M337" s="6">
        <v>34</v>
      </c>
      <c r="N337" s="6">
        <v>6</v>
      </c>
      <c r="O337" s="6" t="s">
        <v>27</v>
      </c>
      <c r="P337" s="6" t="s">
        <v>27</v>
      </c>
      <c r="Q337" s="6">
        <v>5</v>
      </c>
      <c r="R337" s="6" t="s">
        <v>27</v>
      </c>
      <c r="S337" s="6" t="s">
        <v>27</v>
      </c>
    </row>
    <row r="338" spans="1:19" x14ac:dyDescent="0.35">
      <c r="A338" s="7" t="s">
        <v>737</v>
      </c>
      <c r="B338" s="5" t="s">
        <v>738</v>
      </c>
      <c r="C338" s="5" t="s">
        <v>31</v>
      </c>
      <c r="D338" s="5">
        <v>32</v>
      </c>
      <c r="E338" s="5" t="s">
        <v>55</v>
      </c>
      <c r="F338" s="5" t="s">
        <v>64</v>
      </c>
      <c r="G338" s="5" t="s">
        <v>24</v>
      </c>
      <c r="H338" s="5" t="s">
        <v>25</v>
      </c>
      <c r="I338" s="5">
        <v>6</v>
      </c>
      <c r="J338" s="5">
        <v>50883</v>
      </c>
      <c r="K338" s="5" t="s">
        <v>26</v>
      </c>
      <c r="L338" s="5">
        <v>4</v>
      </c>
      <c r="M338" s="5">
        <v>18</v>
      </c>
      <c r="N338" s="5">
        <v>3</v>
      </c>
      <c r="O338" s="5" t="s">
        <v>27</v>
      </c>
      <c r="P338" s="5" t="s">
        <v>28</v>
      </c>
      <c r="Q338" s="5">
        <v>1</v>
      </c>
      <c r="R338" s="5" t="s">
        <v>28</v>
      </c>
      <c r="S338" s="5" t="s">
        <v>27</v>
      </c>
    </row>
    <row r="339" spans="1:19" x14ac:dyDescent="0.35">
      <c r="A339" s="8" t="s">
        <v>739</v>
      </c>
      <c r="B339" s="6" t="s">
        <v>740</v>
      </c>
      <c r="C339" s="6" t="s">
        <v>21</v>
      </c>
      <c r="D339" s="6">
        <v>47</v>
      </c>
      <c r="E339" s="6" t="s">
        <v>38</v>
      </c>
      <c r="F339" s="6" t="s">
        <v>48</v>
      </c>
      <c r="G339" s="6" t="s">
        <v>24</v>
      </c>
      <c r="H339" s="6" t="s">
        <v>61</v>
      </c>
      <c r="I339" s="6">
        <v>10</v>
      </c>
      <c r="J339" s="6">
        <v>57329</v>
      </c>
      <c r="K339" s="6" t="s">
        <v>45</v>
      </c>
      <c r="L339" s="6">
        <v>5</v>
      </c>
      <c r="M339" s="6">
        <v>35</v>
      </c>
      <c r="N339" s="6">
        <v>0</v>
      </c>
      <c r="O339" s="6" t="s">
        <v>27</v>
      </c>
      <c r="P339" s="6" t="s">
        <v>27</v>
      </c>
      <c r="Q339" s="6">
        <v>4</v>
      </c>
      <c r="R339" s="6" t="s">
        <v>27</v>
      </c>
      <c r="S339" s="6" t="s">
        <v>27</v>
      </c>
    </row>
    <row r="340" spans="1:19" x14ac:dyDescent="0.35">
      <c r="A340" s="7" t="s">
        <v>741</v>
      </c>
      <c r="B340" s="5" t="s">
        <v>742</v>
      </c>
      <c r="C340" s="5" t="s">
        <v>21</v>
      </c>
      <c r="D340" s="5">
        <v>50</v>
      </c>
      <c r="E340" s="5" t="s">
        <v>32</v>
      </c>
      <c r="F340" s="5" t="s">
        <v>48</v>
      </c>
      <c r="G340" s="5" t="s">
        <v>69</v>
      </c>
      <c r="H340" s="5" t="s">
        <v>34</v>
      </c>
      <c r="I340" s="5">
        <v>22</v>
      </c>
      <c r="J340" s="5">
        <v>53476</v>
      </c>
      <c r="K340" s="5" t="s">
        <v>26</v>
      </c>
      <c r="L340" s="5">
        <v>1</v>
      </c>
      <c r="M340" s="5">
        <v>18</v>
      </c>
      <c r="N340" s="5">
        <v>3</v>
      </c>
      <c r="O340" s="5" t="s">
        <v>27</v>
      </c>
      <c r="P340" s="5" t="s">
        <v>28</v>
      </c>
      <c r="Q340" s="5">
        <v>1</v>
      </c>
      <c r="R340" s="5" t="s">
        <v>27</v>
      </c>
      <c r="S340" s="5" t="s">
        <v>27</v>
      </c>
    </row>
    <row r="341" spans="1:19" x14ac:dyDescent="0.35">
      <c r="A341" s="8" t="s">
        <v>743</v>
      </c>
      <c r="B341" s="6" t="s">
        <v>744</v>
      </c>
      <c r="C341" s="6" t="s">
        <v>31</v>
      </c>
      <c r="D341" s="6">
        <v>30</v>
      </c>
      <c r="E341" s="6" t="s">
        <v>38</v>
      </c>
      <c r="F341" s="6" t="s">
        <v>48</v>
      </c>
      <c r="G341" s="6" t="s">
        <v>24</v>
      </c>
      <c r="H341" s="6" t="s">
        <v>131</v>
      </c>
      <c r="I341" s="6">
        <v>4</v>
      </c>
      <c r="J341" s="6">
        <v>45005</v>
      </c>
      <c r="K341" s="6" t="s">
        <v>26</v>
      </c>
      <c r="L341" s="6">
        <v>6</v>
      </c>
      <c r="M341" s="6">
        <v>25</v>
      </c>
      <c r="N341" s="6">
        <v>5</v>
      </c>
      <c r="O341" s="6" t="s">
        <v>28</v>
      </c>
      <c r="P341" s="6" t="s">
        <v>28</v>
      </c>
      <c r="Q341" s="6">
        <v>1</v>
      </c>
      <c r="R341" s="6" t="s">
        <v>27</v>
      </c>
      <c r="S341" s="6" t="s">
        <v>27</v>
      </c>
    </row>
    <row r="342" spans="1:19" x14ac:dyDescent="0.35">
      <c r="A342" s="7" t="s">
        <v>745</v>
      </c>
      <c r="B342" s="5" t="s">
        <v>746</v>
      </c>
      <c r="C342" s="5" t="s">
        <v>31</v>
      </c>
      <c r="D342" s="5">
        <v>54</v>
      </c>
      <c r="E342" s="5" t="s">
        <v>55</v>
      </c>
      <c r="F342" s="5" t="s">
        <v>64</v>
      </c>
      <c r="G342" s="5" t="s">
        <v>24</v>
      </c>
      <c r="H342" s="5" t="s">
        <v>52</v>
      </c>
      <c r="I342" s="5">
        <v>21</v>
      </c>
      <c r="J342" s="5">
        <v>62318</v>
      </c>
      <c r="K342" s="5" t="s">
        <v>45</v>
      </c>
      <c r="L342" s="5">
        <v>4</v>
      </c>
      <c r="M342" s="5">
        <v>43</v>
      </c>
      <c r="N342" s="5">
        <v>3</v>
      </c>
      <c r="O342" s="5" t="s">
        <v>28</v>
      </c>
      <c r="P342" s="5" t="s">
        <v>28</v>
      </c>
      <c r="Q342" s="5">
        <v>4</v>
      </c>
      <c r="R342" s="5" t="s">
        <v>27</v>
      </c>
      <c r="S342" s="5" t="s">
        <v>27</v>
      </c>
    </row>
    <row r="343" spans="1:19" x14ac:dyDescent="0.35">
      <c r="A343" s="8" t="s">
        <v>747</v>
      </c>
      <c r="B343" s="6" t="s">
        <v>748</v>
      </c>
      <c r="C343" s="6" t="s">
        <v>21</v>
      </c>
      <c r="D343" s="6">
        <v>26</v>
      </c>
      <c r="E343" s="6" t="s">
        <v>55</v>
      </c>
      <c r="F343" s="6" t="s">
        <v>33</v>
      </c>
      <c r="G343" s="6" t="s">
        <v>24</v>
      </c>
      <c r="H343" s="6" t="s">
        <v>49</v>
      </c>
      <c r="I343" s="6">
        <v>3</v>
      </c>
      <c r="J343" s="6">
        <v>56236</v>
      </c>
      <c r="K343" s="6" t="s">
        <v>45</v>
      </c>
      <c r="L343" s="6">
        <v>4</v>
      </c>
      <c r="M343" s="6">
        <v>46</v>
      </c>
      <c r="N343" s="6">
        <v>5</v>
      </c>
      <c r="O343" s="6" t="s">
        <v>27</v>
      </c>
      <c r="P343" s="6" t="s">
        <v>27</v>
      </c>
      <c r="Q343" s="6">
        <v>5</v>
      </c>
      <c r="R343" s="6" t="s">
        <v>28</v>
      </c>
      <c r="S343" s="6" t="s">
        <v>27</v>
      </c>
    </row>
    <row r="344" spans="1:19" x14ac:dyDescent="0.35">
      <c r="A344" s="7" t="s">
        <v>749</v>
      </c>
      <c r="B344" s="5" t="s">
        <v>750</v>
      </c>
      <c r="C344" s="5" t="s">
        <v>21</v>
      </c>
      <c r="D344" s="5">
        <v>37</v>
      </c>
      <c r="E344" s="5" t="s">
        <v>55</v>
      </c>
      <c r="F344" s="5" t="s">
        <v>33</v>
      </c>
      <c r="G344" s="5" t="s">
        <v>24</v>
      </c>
      <c r="H344" s="5" t="s">
        <v>52</v>
      </c>
      <c r="I344" s="5">
        <v>13</v>
      </c>
      <c r="J344" s="5">
        <v>66056</v>
      </c>
      <c r="K344" s="5" t="s">
        <v>40</v>
      </c>
      <c r="L344" s="5">
        <v>1</v>
      </c>
      <c r="M344" s="5">
        <v>17</v>
      </c>
      <c r="N344" s="5">
        <v>4</v>
      </c>
      <c r="O344" s="5" t="s">
        <v>28</v>
      </c>
      <c r="P344" s="5" t="s">
        <v>28</v>
      </c>
      <c r="Q344" s="5">
        <v>4</v>
      </c>
      <c r="R344" s="5" t="s">
        <v>27</v>
      </c>
      <c r="S344" s="5" t="s">
        <v>27</v>
      </c>
    </row>
    <row r="345" spans="1:19" x14ac:dyDescent="0.35">
      <c r="A345" s="8" t="s">
        <v>751</v>
      </c>
      <c r="B345" s="6" t="s">
        <v>752</v>
      </c>
      <c r="C345" s="6" t="s">
        <v>21</v>
      </c>
      <c r="D345" s="6">
        <v>45</v>
      </c>
      <c r="E345" s="6" t="s">
        <v>38</v>
      </c>
      <c r="F345" s="6" t="s">
        <v>43</v>
      </c>
      <c r="G345" s="6" t="s">
        <v>69</v>
      </c>
      <c r="H345" s="6" t="s">
        <v>131</v>
      </c>
      <c r="I345" s="6">
        <v>17</v>
      </c>
      <c r="J345" s="6">
        <v>82000</v>
      </c>
      <c r="K345" s="6" t="s">
        <v>45</v>
      </c>
      <c r="L345" s="6">
        <v>5</v>
      </c>
      <c r="M345" s="6">
        <v>31</v>
      </c>
      <c r="N345" s="6">
        <v>2</v>
      </c>
      <c r="O345" s="6" t="s">
        <v>27</v>
      </c>
      <c r="P345" s="6" t="s">
        <v>27</v>
      </c>
      <c r="Q345" s="6">
        <v>3</v>
      </c>
      <c r="R345" s="6" t="s">
        <v>27</v>
      </c>
      <c r="S345" s="6" t="s">
        <v>27</v>
      </c>
    </row>
    <row r="346" spans="1:19" x14ac:dyDescent="0.35">
      <c r="A346" s="7" t="s">
        <v>753</v>
      </c>
      <c r="B346" s="5" t="s">
        <v>754</v>
      </c>
      <c r="C346" s="5" t="s">
        <v>21</v>
      </c>
      <c r="D346" s="5">
        <v>49</v>
      </c>
      <c r="E346" s="5" t="s">
        <v>55</v>
      </c>
      <c r="F346" s="5" t="s">
        <v>43</v>
      </c>
      <c r="G346" s="5" t="s">
        <v>44</v>
      </c>
      <c r="H346" s="5" t="s">
        <v>131</v>
      </c>
      <c r="I346" s="5">
        <v>13</v>
      </c>
      <c r="J346" s="5">
        <v>82000</v>
      </c>
      <c r="K346" s="5" t="s">
        <v>40</v>
      </c>
      <c r="L346" s="5">
        <v>6</v>
      </c>
      <c r="M346" s="5">
        <v>18</v>
      </c>
      <c r="N346" s="5">
        <v>3</v>
      </c>
      <c r="O346" s="5" t="s">
        <v>28</v>
      </c>
      <c r="P346" s="5" t="s">
        <v>28</v>
      </c>
      <c r="Q346" s="5">
        <v>2</v>
      </c>
      <c r="R346" s="5" t="s">
        <v>27</v>
      </c>
      <c r="S346" s="5" t="s">
        <v>27</v>
      </c>
    </row>
    <row r="347" spans="1:19" x14ac:dyDescent="0.35">
      <c r="A347" s="8" t="s">
        <v>755</v>
      </c>
      <c r="B347" s="6" t="s">
        <v>756</v>
      </c>
      <c r="C347" s="6" t="s">
        <v>21</v>
      </c>
      <c r="D347" s="6">
        <v>48</v>
      </c>
      <c r="E347" s="6" t="s">
        <v>55</v>
      </c>
      <c r="F347" s="6" t="s">
        <v>23</v>
      </c>
      <c r="G347" s="6" t="s">
        <v>44</v>
      </c>
      <c r="H347" s="6" t="s">
        <v>61</v>
      </c>
      <c r="I347" s="6">
        <v>16</v>
      </c>
      <c r="J347" s="6">
        <v>71255</v>
      </c>
      <c r="K347" s="6" t="s">
        <v>45</v>
      </c>
      <c r="L347" s="6">
        <v>4</v>
      </c>
      <c r="M347" s="6">
        <v>16</v>
      </c>
      <c r="N347" s="6">
        <v>5</v>
      </c>
      <c r="O347" s="6" t="s">
        <v>27</v>
      </c>
      <c r="P347" s="6" t="s">
        <v>28</v>
      </c>
      <c r="Q347" s="6">
        <v>3</v>
      </c>
      <c r="R347" s="6" t="s">
        <v>27</v>
      </c>
      <c r="S347" s="6" t="s">
        <v>27</v>
      </c>
    </row>
    <row r="348" spans="1:19" x14ac:dyDescent="0.35">
      <c r="A348" s="7" t="s">
        <v>757</v>
      </c>
      <c r="B348" s="5" t="s">
        <v>758</v>
      </c>
      <c r="C348" s="5" t="s">
        <v>31</v>
      </c>
      <c r="D348" s="5">
        <v>43</v>
      </c>
      <c r="E348" s="5" t="s">
        <v>38</v>
      </c>
      <c r="F348" s="5" t="s">
        <v>23</v>
      </c>
      <c r="G348" s="5" t="s">
        <v>24</v>
      </c>
      <c r="H348" s="5" t="s">
        <v>49</v>
      </c>
      <c r="I348" s="5">
        <v>15</v>
      </c>
      <c r="J348" s="5">
        <v>72122</v>
      </c>
      <c r="K348" s="5" t="s">
        <v>26</v>
      </c>
      <c r="L348" s="5">
        <v>7</v>
      </c>
      <c r="M348" s="5">
        <v>39</v>
      </c>
      <c r="N348" s="5">
        <v>3</v>
      </c>
      <c r="O348" s="5" t="s">
        <v>27</v>
      </c>
      <c r="P348" s="5" t="s">
        <v>28</v>
      </c>
      <c r="Q348" s="5">
        <v>1</v>
      </c>
      <c r="R348" s="5" t="s">
        <v>27</v>
      </c>
      <c r="S348" s="5" t="s">
        <v>27</v>
      </c>
    </row>
    <row r="349" spans="1:19" x14ac:dyDescent="0.35">
      <c r="A349" s="8" t="s">
        <v>759</v>
      </c>
      <c r="B349" s="6" t="s">
        <v>760</v>
      </c>
      <c r="C349" s="6" t="s">
        <v>31</v>
      </c>
      <c r="D349" s="6">
        <v>52</v>
      </c>
      <c r="E349" s="6" t="s">
        <v>55</v>
      </c>
      <c r="F349" s="6" t="s">
        <v>43</v>
      </c>
      <c r="G349" s="6" t="s">
        <v>44</v>
      </c>
      <c r="H349" s="6" t="s">
        <v>49</v>
      </c>
      <c r="I349" s="6">
        <v>22</v>
      </c>
      <c r="J349" s="6">
        <v>78706</v>
      </c>
      <c r="K349" s="6" t="s">
        <v>26</v>
      </c>
      <c r="L349" s="6">
        <v>6</v>
      </c>
      <c r="M349" s="6">
        <v>2</v>
      </c>
      <c r="N349" s="6">
        <v>2</v>
      </c>
      <c r="O349" s="6" t="s">
        <v>27</v>
      </c>
      <c r="P349" s="6" t="s">
        <v>28</v>
      </c>
      <c r="Q349" s="6">
        <v>5</v>
      </c>
      <c r="R349" s="6" t="s">
        <v>27</v>
      </c>
      <c r="S349" s="6" t="s">
        <v>27</v>
      </c>
    </row>
    <row r="350" spans="1:19" x14ac:dyDescent="0.35">
      <c r="A350" s="7" t="s">
        <v>761</v>
      </c>
      <c r="B350" s="5" t="s">
        <v>762</v>
      </c>
      <c r="C350" s="5" t="s">
        <v>21</v>
      </c>
      <c r="D350" s="5">
        <v>27</v>
      </c>
      <c r="E350" s="5" t="s">
        <v>38</v>
      </c>
      <c r="F350" s="5" t="s">
        <v>43</v>
      </c>
      <c r="G350" s="5" t="s">
        <v>24</v>
      </c>
      <c r="H350" s="5" t="s">
        <v>52</v>
      </c>
      <c r="I350" s="5">
        <v>3</v>
      </c>
      <c r="J350" s="5">
        <v>76282</v>
      </c>
      <c r="K350" s="5" t="s">
        <v>45</v>
      </c>
      <c r="L350" s="5">
        <v>8</v>
      </c>
      <c r="M350" s="5">
        <v>36</v>
      </c>
      <c r="N350" s="5">
        <v>2</v>
      </c>
      <c r="O350" s="5" t="s">
        <v>27</v>
      </c>
      <c r="P350" s="5" t="s">
        <v>28</v>
      </c>
      <c r="Q350" s="5">
        <v>4</v>
      </c>
      <c r="R350" s="5" t="s">
        <v>27</v>
      </c>
      <c r="S350" s="5" t="s">
        <v>27</v>
      </c>
    </row>
    <row r="351" spans="1:19" x14ac:dyDescent="0.35">
      <c r="A351" s="8" t="s">
        <v>763</v>
      </c>
      <c r="B351" s="6" t="s">
        <v>764</v>
      </c>
      <c r="C351" s="6" t="s">
        <v>21</v>
      </c>
      <c r="D351" s="6">
        <v>26</v>
      </c>
      <c r="E351" s="6" t="s">
        <v>55</v>
      </c>
      <c r="F351" s="6" t="s">
        <v>39</v>
      </c>
      <c r="G351" s="6" t="s">
        <v>24</v>
      </c>
      <c r="H351" s="6" t="s">
        <v>131</v>
      </c>
      <c r="I351" s="6">
        <v>4</v>
      </c>
      <c r="J351" s="6">
        <v>50879</v>
      </c>
      <c r="K351" s="6" t="s">
        <v>45</v>
      </c>
      <c r="L351" s="6">
        <v>1</v>
      </c>
      <c r="M351" s="6">
        <v>47</v>
      </c>
      <c r="N351" s="6">
        <v>5</v>
      </c>
      <c r="O351" s="6" t="s">
        <v>27</v>
      </c>
      <c r="P351" s="6" t="s">
        <v>28</v>
      </c>
      <c r="Q351" s="6">
        <v>5</v>
      </c>
      <c r="R351" s="6" t="s">
        <v>27</v>
      </c>
      <c r="S351" s="6" t="s">
        <v>28</v>
      </c>
    </row>
    <row r="352" spans="1:19" x14ac:dyDescent="0.35">
      <c r="A352" s="7" t="s">
        <v>765</v>
      </c>
      <c r="B352" s="5" t="s">
        <v>766</v>
      </c>
      <c r="C352" s="5" t="s">
        <v>21</v>
      </c>
      <c r="D352" s="5">
        <v>36</v>
      </c>
      <c r="E352" s="5" t="s">
        <v>55</v>
      </c>
      <c r="F352" s="5" t="s">
        <v>60</v>
      </c>
      <c r="G352" s="5" t="s">
        <v>69</v>
      </c>
      <c r="H352" s="5" t="s">
        <v>49</v>
      </c>
      <c r="I352" s="5">
        <v>9</v>
      </c>
      <c r="J352" s="5">
        <v>73540</v>
      </c>
      <c r="K352" s="5" t="s">
        <v>26</v>
      </c>
      <c r="L352" s="5">
        <v>10</v>
      </c>
      <c r="M352" s="5">
        <v>18</v>
      </c>
      <c r="N352" s="5">
        <v>5</v>
      </c>
      <c r="O352" s="5" t="s">
        <v>27</v>
      </c>
      <c r="P352" s="5" t="s">
        <v>28</v>
      </c>
      <c r="Q352" s="5">
        <v>1</v>
      </c>
      <c r="R352" s="5" t="s">
        <v>27</v>
      </c>
      <c r="S352" s="5" t="s">
        <v>27</v>
      </c>
    </row>
    <row r="353" spans="1:19" x14ac:dyDescent="0.35">
      <c r="A353" s="8" t="s">
        <v>767</v>
      </c>
      <c r="B353" s="6" t="s">
        <v>768</v>
      </c>
      <c r="C353" s="6" t="s">
        <v>21</v>
      </c>
      <c r="D353" s="6">
        <v>46</v>
      </c>
      <c r="E353" s="6" t="s">
        <v>38</v>
      </c>
      <c r="F353" s="6" t="s">
        <v>64</v>
      </c>
      <c r="G353" s="6" t="s">
        <v>24</v>
      </c>
      <c r="H353" s="6" t="s">
        <v>131</v>
      </c>
      <c r="I353" s="6">
        <v>16</v>
      </c>
      <c r="J353" s="6">
        <v>65916</v>
      </c>
      <c r="K353" s="6" t="s">
        <v>45</v>
      </c>
      <c r="L353" s="6">
        <v>9</v>
      </c>
      <c r="M353" s="6">
        <v>11</v>
      </c>
      <c r="N353" s="6">
        <v>3</v>
      </c>
      <c r="O353" s="6" t="s">
        <v>28</v>
      </c>
      <c r="P353" s="6" t="s">
        <v>28</v>
      </c>
      <c r="Q353" s="6">
        <v>2</v>
      </c>
      <c r="R353" s="6" t="s">
        <v>28</v>
      </c>
      <c r="S353" s="6" t="s">
        <v>27</v>
      </c>
    </row>
    <row r="354" spans="1:19" x14ac:dyDescent="0.35">
      <c r="A354" s="7" t="s">
        <v>769</v>
      </c>
      <c r="B354" s="5" t="s">
        <v>770</v>
      </c>
      <c r="C354" s="5" t="s">
        <v>31</v>
      </c>
      <c r="D354" s="5">
        <v>36</v>
      </c>
      <c r="E354" s="5" t="s">
        <v>38</v>
      </c>
      <c r="F354" s="5" t="s">
        <v>48</v>
      </c>
      <c r="G354" s="5" t="s">
        <v>24</v>
      </c>
      <c r="H354" s="5" t="s">
        <v>61</v>
      </c>
      <c r="I354" s="5">
        <v>6</v>
      </c>
      <c r="J354" s="5">
        <v>51316</v>
      </c>
      <c r="K354" s="5" t="s">
        <v>35</v>
      </c>
      <c r="L354" s="5">
        <v>9</v>
      </c>
      <c r="M354" s="5">
        <v>42</v>
      </c>
      <c r="N354" s="5">
        <v>7</v>
      </c>
      <c r="O354" s="5" t="s">
        <v>28</v>
      </c>
      <c r="P354" s="5" t="s">
        <v>27</v>
      </c>
      <c r="Q354" s="5">
        <v>5</v>
      </c>
      <c r="R354" s="5" t="s">
        <v>28</v>
      </c>
      <c r="S354" s="5" t="s">
        <v>27</v>
      </c>
    </row>
    <row r="355" spans="1:19" x14ac:dyDescent="0.35">
      <c r="A355" s="8" t="s">
        <v>771</v>
      </c>
      <c r="B355" s="6" t="s">
        <v>772</v>
      </c>
      <c r="C355" s="6" t="s">
        <v>21</v>
      </c>
      <c r="D355" s="6">
        <v>38</v>
      </c>
      <c r="E355" s="6" t="s">
        <v>55</v>
      </c>
      <c r="F355" s="6" t="s">
        <v>23</v>
      </c>
      <c r="G355" s="6" t="s">
        <v>24</v>
      </c>
      <c r="H355" s="6" t="s">
        <v>70</v>
      </c>
      <c r="I355" s="6">
        <v>7</v>
      </c>
      <c r="J355" s="6">
        <v>77112</v>
      </c>
      <c r="K355" s="6" t="s">
        <v>45</v>
      </c>
      <c r="L355" s="6">
        <v>7</v>
      </c>
      <c r="M355" s="6">
        <v>41</v>
      </c>
      <c r="N355" s="6">
        <v>4</v>
      </c>
      <c r="O355" s="6" t="s">
        <v>27</v>
      </c>
      <c r="P355" s="6" t="s">
        <v>28</v>
      </c>
      <c r="Q355" s="6">
        <v>5</v>
      </c>
      <c r="R355" s="6" t="s">
        <v>27</v>
      </c>
      <c r="S355" s="6" t="s">
        <v>27</v>
      </c>
    </row>
    <row r="356" spans="1:19" x14ac:dyDescent="0.35">
      <c r="A356" s="7" t="s">
        <v>773</v>
      </c>
      <c r="B356" s="5" t="s">
        <v>774</v>
      </c>
      <c r="C356" s="5" t="s">
        <v>21</v>
      </c>
      <c r="D356" s="5">
        <v>34</v>
      </c>
      <c r="E356" s="5" t="s">
        <v>55</v>
      </c>
      <c r="F356" s="5" t="s">
        <v>48</v>
      </c>
      <c r="G356" s="5" t="s">
        <v>24</v>
      </c>
      <c r="H356" s="5" t="s">
        <v>70</v>
      </c>
      <c r="I356" s="5">
        <v>10</v>
      </c>
      <c r="J356" s="5">
        <v>58225</v>
      </c>
      <c r="K356" s="5" t="s">
        <v>45</v>
      </c>
      <c r="L356" s="5">
        <v>3</v>
      </c>
      <c r="M356" s="5">
        <v>27</v>
      </c>
      <c r="N356" s="5">
        <v>6</v>
      </c>
      <c r="O356" s="5" t="s">
        <v>27</v>
      </c>
      <c r="P356" s="5" t="s">
        <v>27</v>
      </c>
      <c r="Q356" s="5">
        <v>1</v>
      </c>
      <c r="R356" s="5" t="s">
        <v>28</v>
      </c>
      <c r="S356" s="5" t="s">
        <v>27</v>
      </c>
    </row>
    <row r="357" spans="1:19" x14ac:dyDescent="0.35">
      <c r="A357" s="8" t="s">
        <v>775</v>
      </c>
      <c r="B357" s="6" t="s">
        <v>776</v>
      </c>
      <c r="C357" s="6" t="s">
        <v>21</v>
      </c>
      <c r="D357" s="6">
        <v>39</v>
      </c>
      <c r="E357" s="6" t="s">
        <v>22</v>
      </c>
      <c r="F357" s="6" t="s">
        <v>33</v>
      </c>
      <c r="G357" s="6" t="s">
        <v>69</v>
      </c>
      <c r="H357" s="6" t="s">
        <v>25</v>
      </c>
      <c r="I357" s="6">
        <v>14</v>
      </c>
      <c r="J357" s="6">
        <v>69782</v>
      </c>
      <c r="K357" s="6" t="s">
        <v>35</v>
      </c>
      <c r="L357" s="6">
        <v>7</v>
      </c>
      <c r="M357" s="6">
        <v>12</v>
      </c>
      <c r="N357" s="6">
        <v>4</v>
      </c>
      <c r="O357" s="6" t="s">
        <v>28</v>
      </c>
      <c r="P357" s="6" t="s">
        <v>27</v>
      </c>
      <c r="Q357" s="6">
        <v>5</v>
      </c>
      <c r="R357" s="6" t="s">
        <v>28</v>
      </c>
      <c r="S357" s="6" t="s">
        <v>27</v>
      </c>
    </row>
    <row r="358" spans="1:19" x14ac:dyDescent="0.35">
      <c r="A358" s="7" t="s">
        <v>777</v>
      </c>
      <c r="B358" s="5" t="s">
        <v>778</v>
      </c>
      <c r="C358" s="5" t="s">
        <v>21</v>
      </c>
      <c r="D358" s="5">
        <v>35</v>
      </c>
      <c r="E358" s="5" t="s">
        <v>55</v>
      </c>
      <c r="F358" s="5" t="s">
        <v>48</v>
      </c>
      <c r="G358" s="5" t="s">
        <v>24</v>
      </c>
      <c r="H358" s="5" t="s">
        <v>61</v>
      </c>
      <c r="I358" s="5">
        <v>11</v>
      </c>
      <c r="J358" s="5">
        <v>44637</v>
      </c>
      <c r="K358" s="5" t="s">
        <v>26</v>
      </c>
      <c r="L358" s="5">
        <v>9</v>
      </c>
      <c r="M358" s="5">
        <v>17</v>
      </c>
      <c r="N358" s="5">
        <v>0</v>
      </c>
      <c r="O358" s="5" t="s">
        <v>28</v>
      </c>
      <c r="P358" s="5" t="s">
        <v>27</v>
      </c>
      <c r="Q358" s="5">
        <v>1</v>
      </c>
      <c r="R358" s="5" t="s">
        <v>27</v>
      </c>
      <c r="S358" s="5" t="s">
        <v>27</v>
      </c>
    </row>
    <row r="359" spans="1:19" x14ac:dyDescent="0.35">
      <c r="A359" s="8" t="s">
        <v>779</v>
      </c>
      <c r="B359" s="6" t="s">
        <v>780</v>
      </c>
      <c r="C359" s="6" t="s">
        <v>21</v>
      </c>
      <c r="D359" s="6">
        <v>23</v>
      </c>
      <c r="E359" s="6" t="s">
        <v>55</v>
      </c>
      <c r="F359" s="6" t="s">
        <v>23</v>
      </c>
      <c r="G359" s="6" t="s">
        <v>24</v>
      </c>
      <c r="H359" s="6" t="s">
        <v>25</v>
      </c>
      <c r="I359" s="6">
        <v>1</v>
      </c>
      <c r="J359" s="6">
        <v>57994</v>
      </c>
      <c r="K359" s="6" t="s">
        <v>26</v>
      </c>
      <c r="L359" s="6">
        <v>7</v>
      </c>
      <c r="M359" s="6">
        <v>17</v>
      </c>
      <c r="N359" s="6">
        <v>4</v>
      </c>
      <c r="O359" s="6" t="s">
        <v>27</v>
      </c>
      <c r="P359" s="6" t="s">
        <v>27</v>
      </c>
      <c r="Q359" s="6">
        <v>4</v>
      </c>
      <c r="R359" s="6" t="s">
        <v>27</v>
      </c>
      <c r="S359" s="6" t="s">
        <v>27</v>
      </c>
    </row>
    <row r="360" spans="1:19" x14ac:dyDescent="0.35">
      <c r="A360" s="7" t="s">
        <v>781</v>
      </c>
      <c r="B360" s="5" t="s">
        <v>782</v>
      </c>
      <c r="C360" s="5" t="s">
        <v>21</v>
      </c>
      <c r="D360" s="5">
        <v>54</v>
      </c>
      <c r="E360" s="5" t="s">
        <v>38</v>
      </c>
      <c r="F360" s="5" t="s">
        <v>60</v>
      </c>
      <c r="G360" s="5" t="s">
        <v>24</v>
      </c>
      <c r="H360" s="5" t="s">
        <v>34</v>
      </c>
      <c r="I360" s="5">
        <v>23</v>
      </c>
      <c r="J360" s="5">
        <v>76234</v>
      </c>
      <c r="K360" s="5" t="s">
        <v>26</v>
      </c>
      <c r="L360" s="5">
        <v>5</v>
      </c>
      <c r="M360" s="5">
        <v>18</v>
      </c>
      <c r="N360" s="5">
        <v>6</v>
      </c>
      <c r="O360" s="5" t="s">
        <v>28</v>
      </c>
      <c r="P360" s="5" t="s">
        <v>27</v>
      </c>
      <c r="Q360" s="5">
        <v>1</v>
      </c>
      <c r="R360" s="5" t="s">
        <v>27</v>
      </c>
      <c r="S360" s="5" t="s">
        <v>27</v>
      </c>
    </row>
    <row r="361" spans="1:19" x14ac:dyDescent="0.35">
      <c r="A361" s="8" t="s">
        <v>783</v>
      </c>
      <c r="B361" s="6" t="s">
        <v>784</v>
      </c>
      <c r="C361" s="6" t="s">
        <v>21</v>
      </c>
      <c r="D361" s="6">
        <v>33</v>
      </c>
      <c r="E361" s="6" t="s">
        <v>55</v>
      </c>
      <c r="F361" s="6" t="s">
        <v>64</v>
      </c>
      <c r="G361" s="6" t="s">
        <v>24</v>
      </c>
      <c r="H361" s="6" t="s">
        <v>70</v>
      </c>
      <c r="I361" s="6">
        <v>9</v>
      </c>
      <c r="J361" s="6">
        <v>66087</v>
      </c>
      <c r="K361" s="6" t="s">
        <v>26</v>
      </c>
      <c r="L361" s="6">
        <v>7</v>
      </c>
      <c r="M361" s="6">
        <v>14</v>
      </c>
      <c r="N361" s="6">
        <v>7</v>
      </c>
      <c r="O361" s="6" t="s">
        <v>27</v>
      </c>
      <c r="P361" s="6" t="s">
        <v>28</v>
      </c>
      <c r="Q361" s="6">
        <v>1</v>
      </c>
      <c r="R361" s="6" t="s">
        <v>27</v>
      </c>
      <c r="S361" s="6" t="s">
        <v>27</v>
      </c>
    </row>
    <row r="362" spans="1:19" x14ac:dyDescent="0.35">
      <c r="A362" s="7" t="s">
        <v>785</v>
      </c>
      <c r="B362" s="5" t="s">
        <v>786</v>
      </c>
      <c r="C362" s="5" t="s">
        <v>21</v>
      </c>
      <c r="D362" s="5">
        <v>51</v>
      </c>
      <c r="E362" s="5" t="s">
        <v>55</v>
      </c>
      <c r="F362" s="5" t="s">
        <v>48</v>
      </c>
      <c r="G362" s="5" t="s">
        <v>24</v>
      </c>
      <c r="H362" s="5" t="s">
        <v>70</v>
      </c>
      <c r="I362" s="5">
        <v>23</v>
      </c>
      <c r="J362" s="5">
        <v>62185</v>
      </c>
      <c r="K362" s="5" t="s">
        <v>26</v>
      </c>
      <c r="L362" s="5">
        <v>8</v>
      </c>
      <c r="M362" s="5">
        <v>28</v>
      </c>
      <c r="N362" s="5">
        <v>5</v>
      </c>
      <c r="O362" s="5" t="s">
        <v>28</v>
      </c>
      <c r="P362" s="5" t="s">
        <v>27</v>
      </c>
      <c r="Q362" s="5">
        <v>3</v>
      </c>
      <c r="R362" s="5" t="s">
        <v>27</v>
      </c>
      <c r="S362" s="5" t="s">
        <v>27</v>
      </c>
    </row>
    <row r="363" spans="1:19" x14ac:dyDescent="0.35">
      <c r="A363" s="8" t="s">
        <v>787</v>
      </c>
      <c r="B363" s="6" t="s">
        <v>788</v>
      </c>
      <c r="C363" s="6" t="s">
        <v>31</v>
      </c>
      <c r="D363" s="6">
        <v>50</v>
      </c>
      <c r="E363" s="6" t="s">
        <v>38</v>
      </c>
      <c r="F363" s="6" t="s">
        <v>64</v>
      </c>
      <c r="G363" s="6" t="s">
        <v>69</v>
      </c>
      <c r="H363" s="6" t="s">
        <v>34</v>
      </c>
      <c r="I363" s="6">
        <v>24</v>
      </c>
      <c r="J363" s="6">
        <v>79991</v>
      </c>
      <c r="K363" s="6" t="s">
        <v>45</v>
      </c>
      <c r="L363" s="6">
        <v>3</v>
      </c>
      <c r="M363" s="6">
        <v>17</v>
      </c>
      <c r="N363" s="6">
        <v>4</v>
      </c>
      <c r="O363" s="6" t="s">
        <v>27</v>
      </c>
      <c r="P363" s="6" t="s">
        <v>27</v>
      </c>
      <c r="Q363" s="6">
        <v>4</v>
      </c>
      <c r="R363" s="6" t="s">
        <v>27</v>
      </c>
      <c r="S363" s="6" t="s">
        <v>27</v>
      </c>
    </row>
    <row r="364" spans="1:19" x14ac:dyDescent="0.35">
      <c r="A364" s="7" t="s">
        <v>789</v>
      </c>
      <c r="B364" s="5" t="s">
        <v>790</v>
      </c>
      <c r="C364" s="5" t="s">
        <v>31</v>
      </c>
      <c r="D364" s="5">
        <v>54</v>
      </c>
      <c r="E364" s="5" t="s">
        <v>38</v>
      </c>
      <c r="F364" s="5" t="s">
        <v>60</v>
      </c>
      <c r="G364" s="5" t="s">
        <v>24</v>
      </c>
      <c r="H364" s="5" t="s">
        <v>25</v>
      </c>
      <c r="I364" s="5">
        <v>24</v>
      </c>
      <c r="J364" s="5">
        <v>59713</v>
      </c>
      <c r="K364" s="5" t="s">
        <v>35</v>
      </c>
      <c r="L364" s="5">
        <v>1</v>
      </c>
      <c r="M364" s="5">
        <v>52</v>
      </c>
      <c r="N364" s="5">
        <v>1</v>
      </c>
      <c r="O364" s="5" t="s">
        <v>28</v>
      </c>
      <c r="P364" s="5" t="s">
        <v>28</v>
      </c>
      <c r="Q364" s="5">
        <v>1</v>
      </c>
      <c r="R364" s="5" t="s">
        <v>27</v>
      </c>
      <c r="S364" s="5" t="s">
        <v>27</v>
      </c>
    </row>
    <row r="365" spans="1:19" x14ac:dyDescent="0.35">
      <c r="A365" s="8" t="s">
        <v>791</v>
      </c>
      <c r="B365" s="6" t="s">
        <v>792</v>
      </c>
      <c r="C365" s="6" t="s">
        <v>21</v>
      </c>
      <c r="D365" s="6">
        <v>43</v>
      </c>
      <c r="E365" s="6" t="s">
        <v>55</v>
      </c>
      <c r="F365" s="6" t="s">
        <v>64</v>
      </c>
      <c r="G365" s="6" t="s">
        <v>24</v>
      </c>
      <c r="H365" s="6" t="s">
        <v>61</v>
      </c>
      <c r="I365" s="6">
        <v>10</v>
      </c>
      <c r="J365" s="6">
        <v>58448</v>
      </c>
      <c r="K365" s="6" t="s">
        <v>26</v>
      </c>
      <c r="L365" s="6">
        <v>7</v>
      </c>
      <c r="M365" s="6">
        <v>22</v>
      </c>
      <c r="N365" s="6">
        <v>8</v>
      </c>
      <c r="O365" s="6" t="s">
        <v>27</v>
      </c>
      <c r="P365" s="6" t="s">
        <v>28</v>
      </c>
      <c r="Q365" s="6">
        <v>1</v>
      </c>
      <c r="R365" s="6" t="s">
        <v>27</v>
      </c>
      <c r="S365" s="6" t="s">
        <v>27</v>
      </c>
    </row>
    <row r="366" spans="1:19" x14ac:dyDescent="0.35">
      <c r="A366" s="7" t="s">
        <v>793</v>
      </c>
      <c r="B366" s="5" t="s">
        <v>794</v>
      </c>
      <c r="C366" s="5" t="s">
        <v>31</v>
      </c>
      <c r="D366" s="5">
        <v>39</v>
      </c>
      <c r="E366" s="5" t="s">
        <v>55</v>
      </c>
      <c r="F366" s="5" t="s">
        <v>33</v>
      </c>
      <c r="G366" s="5" t="s">
        <v>24</v>
      </c>
      <c r="H366" s="5" t="s">
        <v>49</v>
      </c>
      <c r="I366" s="5">
        <v>45</v>
      </c>
      <c r="J366" s="5">
        <v>68842</v>
      </c>
      <c r="K366" s="5" t="s">
        <v>45</v>
      </c>
      <c r="L366" s="5">
        <v>5</v>
      </c>
      <c r="M366" s="5">
        <v>37</v>
      </c>
      <c r="N366" s="5">
        <v>6</v>
      </c>
      <c r="O366" s="5" t="s">
        <v>27</v>
      </c>
      <c r="P366" s="5" t="s">
        <v>28</v>
      </c>
      <c r="Q366" s="5">
        <v>5</v>
      </c>
      <c r="R366" s="5" t="s">
        <v>27</v>
      </c>
      <c r="S366" s="5" t="s">
        <v>27</v>
      </c>
    </row>
    <row r="367" spans="1:19" x14ac:dyDescent="0.35">
      <c r="A367" s="8" t="s">
        <v>795</v>
      </c>
      <c r="B367" s="6" t="s">
        <v>796</v>
      </c>
      <c r="C367" s="6" t="s">
        <v>21</v>
      </c>
      <c r="D367" s="6">
        <v>43</v>
      </c>
      <c r="E367" s="6" t="s">
        <v>55</v>
      </c>
      <c r="F367" s="6" t="s">
        <v>64</v>
      </c>
      <c r="G367" s="6" t="s">
        <v>24</v>
      </c>
      <c r="H367" s="6" t="s">
        <v>131</v>
      </c>
      <c r="I367" s="6">
        <v>17</v>
      </c>
      <c r="J367" s="6">
        <v>60376</v>
      </c>
      <c r="K367" s="6" t="s">
        <v>45</v>
      </c>
      <c r="L367" s="6">
        <v>3</v>
      </c>
      <c r="M367" s="6">
        <v>32</v>
      </c>
      <c r="N367" s="6">
        <v>3</v>
      </c>
      <c r="O367" s="6" t="s">
        <v>28</v>
      </c>
      <c r="P367" s="6" t="s">
        <v>28</v>
      </c>
      <c r="Q367" s="6">
        <v>3</v>
      </c>
      <c r="R367" s="6" t="s">
        <v>27</v>
      </c>
      <c r="S367" s="6" t="s">
        <v>27</v>
      </c>
    </row>
    <row r="368" spans="1:19" x14ac:dyDescent="0.35">
      <c r="A368" s="7" t="s">
        <v>797</v>
      </c>
      <c r="B368" s="5" t="s">
        <v>798</v>
      </c>
      <c r="C368" s="5" t="s">
        <v>21</v>
      </c>
      <c r="D368" s="5">
        <v>41</v>
      </c>
      <c r="E368" s="5" t="s">
        <v>55</v>
      </c>
      <c r="F368" s="5" t="s">
        <v>43</v>
      </c>
      <c r="G368" s="5" t="s">
        <v>24</v>
      </c>
      <c r="H368" s="5" t="s">
        <v>131</v>
      </c>
      <c r="I368" s="5">
        <v>13</v>
      </c>
      <c r="J368" s="5">
        <v>74914</v>
      </c>
      <c r="K368" s="5" t="s">
        <v>45</v>
      </c>
      <c r="L368" s="5">
        <v>7</v>
      </c>
      <c r="M368" s="5">
        <v>21</v>
      </c>
      <c r="N368" s="5">
        <v>2</v>
      </c>
      <c r="O368" s="5" t="s">
        <v>28</v>
      </c>
      <c r="P368" s="5" t="s">
        <v>27</v>
      </c>
      <c r="Q368" s="5">
        <v>5</v>
      </c>
      <c r="R368" s="5" t="s">
        <v>28</v>
      </c>
      <c r="S368" s="5" t="s">
        <v>27</v>
      </c>
    </row>
    <row r="369" spans="1:19" x14ac:dyDescent="0.35">
      <c r="A369" s="8" t="s">
        <v>799</v>
      </c>
      <c r="B369" s="6" t="s">
        <v>800</v>
      </c>
      <c r="C369" s="6" t="s">
        <v>21</v>
      </c>
      <c r="D369" s="6">
        <v>29</v>
      </c>
      <c r="E369" s="6" t="s">
        <v>55</v>
      </c>
      <c r="F369" s="6" t="s">
        <v>43</v>
      </c>
      <c r="G369" s="6" t="s">
        <v>24</v>
      </c>
      <c r="H369" s="6" t="s">
        <v>61</v>
      </c>
      <c r="I369" s="6">
        <v>3</v>
      </c>
      <c r="J369" s="6">
        <v>58101</v>
      </c>
      <c r="K369" s="6" t="s">
        <v>35</v>
      </c>
      <c r="L369" s="6">
        <v>7</v>
      </c>
      <c r="M369" s="6">
        <v>14</v>
      </c>
      <c r="N369" s="6">
        <v>6</v>
      </c>
      <c r="O369" s="6" t="s">
        <v>27</v>
      </c>
      <c r="P369" s="6" t="s">
        <v>28</v>
      </c>
      <c r="Q369" s="6">
        <v>4</v>
      </c>
      <c r="R369" s="6" t="s">
        <v>27</v>
      </c>
      <c r="S369" s="6" t="s">
        <v>27</v>
      </c>
    </row>
    <row r="370" spans="1:19" x14ac:dyDescent="0.35">
      <c r="A370" s="7" t="s">
        <v>801</v>
      </c>
      <c r="B370" s="5" t="s">
        <v>802</v>
      </c>
      <c r="C370" s="5" t="s">
        <v>31</v>
      </c>
      <c r="D370" s="5">
        <v>27</v>
      </c>
      <c r="E370" s="5" t="s">
        <v>22</v>
      </c>
      <c r="F370" s="5" t="s">
        <v>33</v>
      </c>
      <c r="G370" s="5" t="s">
        <v>24</v>
      </c>
      <c r="H370" s="5" t="s">
        <v>25</v>
      </c>
      <c r="I370" s="5">
        <v>2</v>
      </c>
      <c r="J370" s="5">
        <v>48447</v>
      </c>
      <c r="K370" s="5" t="s">
        <v>45</v>
      </c>
      <c r="L370" s="5">
        <v>1</v>
      </c>
      <c r="M370" s="5">
        <v>30</v>
      </c>
      <c r="N370" s="5">
        <v>7</v>
      </c>
      <c r="O370" s="5" t="s">
        <v>28</v>
      </c>
      <c r="P370" s="5" t="s">
        <v>28</v>
      </c>
      <c r="Q370" s="5">
        <v>5</v>
      </c>
      <c r="R370" s="5" t="s">
        <v>27</v>
      </c>
      <c r="S370" s="5" t="s">
        <v>27</v>
      </c>
    </row>
    <row r="371" spans="1:19" x14ac:dyDescent="0.35">
      <c r="A371" s="8" t="s">
        <v>803</v>
      </c>
      <c r="B371" s="6" t="s">
        <v>804</v>
      </c>
      <c r="C371" s="6" t="s">
        <v>31</v>
      </c>
      <c r="D371" s="6">
        <v>50</v>
      </c>
      <c r="E371" s="6" t="s">
        <v>38</v>
      </c>
      <c r="F371" s="6" t="s">
        <v>39</v>
      </c>
      <c r="G371" s="6" t="s">
        <v>24</v>
      </c>
      <c r="H371" s="6" t="s">
        <v>25</v>
      </c>
      <c r="I371" s="6">
        <v>21</v>
      </c>
      <c r="J371" s="6">
        <v>74538</v>
      </c>
      <c r="K371" s="6" t="s">
        <v>45</v>
      </c>
      <c r="L371" s="6">
        <v>5</v>
      </c>
      <c r="M371" s="6">
        <v>33</v>
      </c>
      <c r="N371" s="6">
        <v>8</v>
      </c>
      <c r="O371" s="6" t="s">
        <v>27</v>
      </c>
      <c r="P371" s="6" t="s">
        <v>27</v>
      </c>
      <c r="Q371" s="6">
        <v>5</v>
      </c>
      <c r="R371" s="6" t="s">
        <v>27</v>
      </c>
      <c r="S371" s="6" t="s">
        <v>27</v>
      </c>
    </row>
    <row r="372" spans="1:19" x14ac:dyDescent="0.35">
      <c r="A372" s="7" t="s">
        <v>805</v>
      </c>
      <c r="B372" s="5" t="s">
        <v>806</v>
      </c>
      <c r="C372" s="5" t="s">
        <v>31</v>
      </c>
      <c r="D372" s="5">
        <v>48</v>
      </c>
      <c r="E372" s="5" t="s">
        <v>38</v>
      </c>
      <c r="F372" s="5" t="s">
        <v>33</v>
      </c>
      <c r="G372" s="5" t="s">
        <v>24</v>
      </c>
      <c r="H372" s="5" t="s">
        <v>61</v>
      </c>
      <c r="I372" s="5">
        <v>13</v>
      </c>
      <c r="J372" s="5">
        <v>55444</v>
      </c>
      <c r="K372" s="5" t="s">
        <v>26</v>
      </c>
      <c r="L372" s="5">
        <v>4</v>
      </c>
      <c r="M372" s="5">
        <v>26</v>
      </c>
      <c r="N372" s="5">
        <v>3</v>
      </c>
      <c r="O372" s="5" t="s">
        <v>27</v>
      </c>
      <c r="P372" s="5" t="s">
        <v>27</v>
      </c>
      <c r="Q372" s="5">
        <v>5</v>
      </c>
      <c r="R372" s="5" t="s">
        <v>27</v>
      </c>
      <c r="S372" s="5" t="s">
        <v>27</v>
      </c>
    </row>
    <row r="373" spans="1:19" x14ac:dyDescent="0.35">
      <c r="A373" s="8" t="s">
        <v>807</v>
      </c>
      <c r="B373" s="6" t="s">
        <v>808</v>
      </c>
      <c r="C373" s="6" t="s">
        <v>21</v>
      </c>
      <c r="D373" s="6">
        <v>33</v>
      </c>
      <c r="E373" s="6" t="s">
        <v>38</v>
      </c>
      <c r="F373" s="6" t="s">
        <v>43</v>
      </c>
      <c r="G373" s="6" t="s">
        <v>24</v>
      </c>
      <c r="H373" s="6" t="s">
        <v>34</v>
      </c>
      <c r="I373" s="6">
        <v>10</v>
      </c>
      <c r="J373" s="6">
        <v>71651</v>
      </c>
      <c r="K373" s="6" t="s">
        <v>26</v>
      </c>
      <c r="L373" s="6">
        <v>10</v>
      </c>
      <c r="M373" s="6">
        <v>24</v>
      </c>
      <c r="N373" s="6">
        <v>4</v>
      </c>
      <c r="O373" s="6" t="s">
        <v>28</v>
      </c>
      <c r="P373" s="6" t="s">
        <v>28</v>
      </c>
      <c r="Q373" s="6">
        <v>5</v>
      </c>
      <c r="R373" s="6" t="s">
        <v>28</v>
      </c>
      <c r="S373" s="6" t="s">
        <v>27</v>
      </c>
    </row>
    <row r="374" spans="1:19" x14ac:dyDescent="0.35">
      <c r="A374" s="7" t="s">
        <v>809</v>
      </c>
      <c r="B374" s="5" t="s">
        <v>810</v>
      </c>
      <c r="C374" s="5" t="s">
        <v>31</v>
      </c>
      <c r="D374" s="5">
        <v>44</v>
      </c>
      <c r="E374" s="5" t="s">
        <v>22</v>
      </c>
      <c r="F374" s="5" t="s">
        <v>48</v>
      </c>
      <c r="G374" s="5" t="s">
        <v>24</v>
      </c>
      <c r="H374" s="5" t="s">
        <v>49</v>
      </c>
      <c r="I374" s="5">
        <v>16</v>
      </c>
      <c r="J374" s="5">
        <v>41449</v>
      </c>
      <c r="K374" s="5" t="s">
        <v>45</v>
      </c>
      <c r="L374" s="5">
        <v>9</v>
      </c>
      <c r="M374" s="5">
        <v>19</v>
      </c>
      <c r="N374" s="5">
        <v>4</v>
      </c>
      <c r="O374" s="5" t="s">
        <v>27</v>
      </c>
      <c r="P374" s="5" t="s">
        <v>28</v>
      </c>
      <c r="Q374" s="5">
        <v>1</v>
      </c>
      <c r="R374" s="5" t="s">
        <v>28</v>
      </c>
      <c r="S374" s="5" t="s">
        <v>27</v>
      </c>
    </row>
    <row r="375" spans="1:19" x14ac:dyDescent="0.35">
      <c r="A375" s="8" t="s">
        <v>811</v>
      </c>
      <c r="B375" s="6" t="s">
        <v>812</v>
      </c>
      <c r="C375" s="6" t="s">
        <v>31</v>
      </c>
      <c r="D375" s="6">
        <v>31</v>
      </c>
      <c r="E375" s="6" t="s">
        <v>38</v>
      </c>
      <c r="F375" s="6" t="s">
        <v>39</v>
      </c>
      <c r="G375" s="6" t="s">
        <v>24</v>
      </c>
      <c r="H375" s="6" t="s">
        <v>61</v>
      </c>
      <c r="I375" s="6">
        <v>7</v>
      </c>
      <c r="J375" s="6">
        <v>62517</v>
      </c>
      <c r="K375" s="6" t="s">
        <v>26</v>
      </c>
      <c r="L375" s="6">
        <v>1</v>
      </c>
      <c r="M375" s="6">
        <v>37</v>
      </c>
      <c r="N375" s="6">
        <v>3</v>
      </c>
      <c r="O375" s="6" t="s">
        <v>27</v>
      </c>
      <c r="P375" s="6" t="s">
        <v>27</v>
      </c>
      <c r="Q375" s="6">
        <v>5</v>
      </c>
      <c r="R375" s="6" t="s">
        <v>27</v>
      </c>
      <c r="S375" s="6" t="s">
        <v>27</v>
      </c>
    </row>
    <row r="376" spans="1:19" x14ac:dyDescent="0.35">
      <c r="A376" s="7" t="s">
        <v>813</v>
      </c>
      <c r="B376" s="5" t="s">
        <v>814</v>
      </c>
      <c r="C376" s="5" t="s">
        <v>21</v>
      </c>
      <c r="D376" s="5">
        <v>48</v>
      </c>
      <c r="E376" s="5" t="s">
        <v>55</v>
      </c>
      <c r="F376" s="5" t="s">
        <v>39</v>
      </c>
      <c r="G376" s="5" t="s">
        <v>44</v>
      </c>
      <c r="H376" s="5" t="s">
        <v>25</v>
      </c>
      <c r="I376" s="5">
        <v>20</v>
      </c>
      <c r="J376" s="5">
        <v>72635</v>
      </c>
      <c r="K376" s="5" t="s">
        <v>35</v>
      </c>
      <c r="L376" s="5">
        <v>8</v>
      </c>
      <c r="M376" s="5">
        <v>13</v>
      </c>
      <c r="N376" s="5">
        <v>7</v>
      </c>
      <c r="O376" s="5" t="s">
        <v>27</v>
      </c>
      <c r="P376" s="5" t="s">
        <v>28</v>
      </c>
      <c r="Q376" s="5">
        <v>4</v>
      </c>
      <c r="R376" s="5" t="s">
        <v>27</v>
      </c>
      <c r="S376" s="5" t="s">
        <v>28</v>
      </c>
    </row>
    <row r="377" spans="1:19" x14ac:dyDescent="0.35">
      <c r="A377" s="8" t="s">
        <v>815</v>
      </c>
      <c r="B377" s="6" t="s">
        <v>816</v>
      </c>
      <c r="C377" s="6" t="s">
        <v>31</v>
      </c>
      <c r="D377" s="6">
        <v>21</v>
      </c>
      <c r="E377" s="6" t="s">
        <v>38</v>
      </c>
      <c r="F377" s="6" t="s">
        <v>23</v>
      </c>
      <c r="G377" s="6" t="s">
        <v>24</v>
      </c>
      <c r="H377" s="6" t="s">
        <v>52</v>
      </c>
      <c r="I377" s="6">
        <v>0</v>
      </c>
      <c r="J377" s="6">
        <v>65262</v>
      </c>
      <c r="K377" s="6" t="s">
        <v>26</v>
      </c>
      <c r="L377" s="6">
        <v>1</v>
      </c>
      <c r="M377" s="6">
        <v>32</v>
      </c>
      <c r="N377" s="6">
        <v>3</v>
      </c>
      <c r="O377" s="6" t="s">
        <v>27</v>
      </c>
      <c r="P377" s="6" t="s">
        <v>28</v>
      </c>
      <c r="Q377" s="6">
        <v>3</v>
      </c>
      <c r="R377" s="6" t="s">
        <v>27</v>
      </c>
      <c r="S377" s="6" t="s">
        <v>28</v>
      </c>
    </row>
    <row r="378" spans="1:19" x14ac:dyDescent="0.35">
      <c r="A378" s="7" t="s">
        <v>817</v>
      </c>
      <c r="B378" s="5" t="s">
        <v>818</v>
      </c>
      <c r="C378" s="5" t="s">
        <v>31</v>
      </c>
      <c r="D378" s="5">
        <v>33</v>
      </c>
      <c r="E378" s="5" t="s">
        <v>55</v>
      </c>
      <c r="F378" s="5" t="s">
        <v>43</v>
      </c>
      <c r="G378" s="5" t="s">
        <v>24</v>
      </c>
      <c r="H378" s="5" t="s">
        <v>52</v>
      </c>
      <c r="I378" s="5">
        <v>10</v>
      </c>
      <c r="J378" s="5">
        <v>80206</v>
      </c>
      <c r="K378" s="5" t="s">
        <v>35</v>
      </c>
      <c r="L378" s="5">
        <v>9</v>
      </c>
      <c r="M378" s="5">
        <v>24</v>
      </c>
      <c r="N378" s="5">
        <v>3</v>
      </c>
      <c r="O378" s="5" t="s">
        <v>28</v>
      </c>
      <c r="P378" s="5" t="s">
        <v>28</v>
      </c>
      <c r="Q378" s="5">
        <v>5</v>
      </c>
      <c r="R378" s="5" t="s">
        <v>27</v>
      </c>
      <c r="S378" s="5" t="s">
        <v>27</v>
      </c>
    </row>
    <row r="379" spans="1:19" x14ac:dyDescent="0.35">
      <c r="A379" s="8" t="s">
        <v>819</v>
      </c>
      <c r="B379" s="6" t="s">
        <v>820</v>
      </c>
      <c r="C379" s="6" t="s">
        <v>31</v>
      </c>
      <c r="D379" s="6">
        <v>39</v>
      </c>
      <c r="E379" s="6" t="s">
        <v>55</v>
      </c>
      <c r="F379" s="6" t="s">
        <v>23</v>
      </c>
      <c r="G379" s="6" t="s">
        <v>24</v>
      </c>
      <c r="H379" s="6" t="s">
        <v>131</v>
      </c>
      <c r="I379" s="6">
        <v>8</v>
      </c>
      <c r="J379" s="6">
        <v>74285</v>
      </c>
      <c r="K379" s="6" t="s">
        <v>45</v>
      </c>
      <c r="L379" s="6">
        <v>7</v>
      </c>
      <c r="M379" s="6">
        <v>30</v>
      </c>
      <c r="N379" s="6">
        <v>6</v>
      </c>
      <c r="O379" s="6" t="s">
        <v>28</v>
      </c>
      <c r="P379" s="6" t="s">
        <v>28</v>
      </c>
      <c r="Q379" s="6">
        <v>3</v>
      </c>
      <c r="R379" s="6" t="s">
        <v>27</v>
      </c>
      <c r="S379" s="6" t="s">
        <v>28</v>
      </c>
    </row>
    <row r="380" spans="1:19" x14ac:dyDescent="0.35">
      <c r="A380" s="7" t="s">
        <v>821</v>
      </c>
      <c r="B380" s="5" t="s">
        <v>822</v>
      </c>
      <c r="C380" s="5" t="s">
        <v>21</v>
      </c>
      <c r="D380" s="5">
        <v>34</v>
      </c>
      <c r="E380" s="5" t="s">
        <v>22</v>
      </c>
      <c r="F380" s="5" t="s">
        <v>48</v>
      </c>
      <c r="G380" s="5" t="s">
        <v>24</v>
      </c>
      <c r="H380" s="5" t="s">
        <v>52</v>
      </c>
      <c r="I380" s="5">
        <v>7</v>
      </c>
      <c r="J380" s="5">
        <v>51392</v>
      </c>
      <c r="K380" s="5" t="s">
        <v>45</v>
      </c>
      <c r="L380" s="5">
        <v>7</v>
      </c>
      <c r="M380" s="5">
        <v>41</v>
      </c>
      <c r="N380" s="5">
        <v>7</v>
      </c>
      <c r="O380" s="5" t="s">
        <v>27</v>
      </c>
      <c r="P380" s="5" t="s">
        <v>28</v>
      </c>
      <c r="Q380" s="5">
        <v>3</v>
      </c>
      <c r="R380" s="5" t="s">
        <v>28</v>
      </c>
      <c r="S380" s="5" t="s">
        <v>28</v>
      </c>
    </row>
    <row r="381" spans="1:19" x14ac:dyDescent="0.35">
      <c r="A381" s="8" t="s">
        <v>823</v>
      </c>
      <c r="B381" s="6" t="s">
        <v>824</v>
      </c>
      <c r="C381" s="6" t="s">
        <v>31</v>
      </c>
      <c r="D381" s="6">
        <v>44</v>
      </c>
      <c r="E381" s="6" t="s">
        <v>55</v>
      </c>
      <c r="F381" s="6" t="s">
        <v>60</v>
      </c>
      <c r="G381" s="6" t="s">
        <v>24</v>
      </c>
      <c r="H381" s="6" t="s">
        <v>52</v>
      </c>
      <c r="I381" s="6">
        <v>14</v>
      </c>
      <c r="J381" s="6">
        <v>63948</v>
      </c>
      <c r="K381" s="6" t="s">
        <v>45</v>
      </c>
      <c r="L381" s="6">
        <v>4</v>
      </c>
      <c r="M381" s="6">
        <v>25</v>
      </c>
      <c r="N381" s="6">
        <v>4</v>
      </c>
      <c r="O381" s="6" t="s">
        <v>28</v>
      </c>
      <c r="P381" s="6" t="s">
        <v>28</v>
      </c>
      <c r="Q381" s="6">
        <v>1</v>
      </c>
      <c r="R381" s="6" t="s">
        <v>28</v>
      </c>
      <c r="S381" s="6" t="s">
        <v>27</v>
      </c>
    </row>
    <row r="382" spans="1:19" x14ac:dyDescent="0.35">
      <c r="A382" s="7" t="s">
        <v>825</v>
      </c>
      <c r="B382" s="5" t="s">
        <v>826</v>
      </c>
      <c r="C382" s="5" t="s">
        <v>21</v>
      </c>
      <c r="D382" s="5">
        <v>28</v>
      </c>
      <c r="E382" s="5" t="s">
        <v>55</v>
      </c>
      <c r="F382" s="5" t="s">
        <v>48</v>
      </c>
      <c r="G382" s="5" t="s">
        <v>24</v>
      </c>
      <c r="H382" s="5" t="s">
        <v>49</v>
      </c>
      <c r="I382" s="5">
        <v>5</v>
      </c>
      <c r="J382" s="5">
        <v>52056</v>
      </c>
      <c r="K382" s="5" t="s">
        <v>35</v>
      </c>
      <c r="L382" s="5">
        <v>7</v>
      </c>
      <c r="M382" s="5">
        <v>2</v>
      </c>
      <c r="N382" s="5">
        <v>0</v>
      </c>
      <c r="O382" s="5" t="s">
        <v>27</v>
      </c>
      <c r="P382" s="5" t="s">
        <v>28</v>
      </c>
      <c r="Q382" s="5">
        <v>3</v>
      </c>
      <c r="R382" s="5" t="s">
        <v>27</v>
      </c>
      <c r="S382" s="5" t="s">
        <v>27</v>
      </c>
    </row>
    <row r="383" spans="1:19" x14ac:dyDescent="0.35">
      <c r="A383" s="8" t="s">
        <v>827</v>
      </c>
      <c r="B383" s="6" t="s">
        <v>828</v>
      </c>
      <c r="C383" s="6" t="s">
        <v>21</v>
      </c>
      <c r="D383" s="6">
        <v>49</v>
      </c>
      <c r="E383" s="6" t="s">
        <v>55</v>
      </c>
      <c r="F383" s="6" t="s">
        <v>33</v>
      </c>
      <c r="G383" s="6" t="s">
        <v>44</v>
      </c>
      <c r="H383" s="6" t="s">
        <v>131</v>
      </c>
      <c r="I383" s="6">
        <v>21</v>
      </c>
      <c r="J383" s="6">
        <v>72681</v>
      </c>
      <c r="K383" s="6" t="s">
        <v>45</v>
      </c>
      <c r="L383" s="6">
        <v>8</v>
      </c>
      <c r="M383" s="6">
        <v>25</v>
      </c>
      <c r="N383" s="6">
        <v>4</v>
      </c>
      <c r="O383" s="6" t="s">
        <v>28</v>
      </c>
      <c r="P383" s="6" t="s">
        <v>28</v>
      </c>
      <c r="Q383" s="6">
        <v>1</v>
      </c>
      <c r="R383" s="6" t="s">
        <v>28</v>
      </c>
      <c r="S383" s="6" t="s">
        <v>27</v>
      </c>
    </row>
    <row r="384" spans="1:19" x14ac:dyDescent="0.35">
      <c r="A384" s="7" t="s">
        <v>829</v>
      </c>
      <c r="B384" s="5" t="s">
        <v>830</v>
      </c>
      <c r="C384" s="5" t="s">
        <v>21</v>
      </c>
      <c r="D384" s="5">
        <v>44</v>
      </c>
      <c r="E384" s="5" t="s">
        <v>55</v>
      </c>
      <c r="F384" s="5" t="s">
        <v>23</v>
      </c>
      <c r="G384" s="5" t="s">
        <v>24</v>
      </c>
      <c r="H384" s="5" t="s">
        <v>52</v>
      </c>
      <c r="I384" s="5">
        <v>11</v>
      </c>
      <c r="J384" s="5">
        <v>69411</v>
      </c>
      <c r="K384" s="5" t="s">
        <v>26</v>
      </c>
      <c r="L384" s="5">
        <v>8</v>
      </c>
      <c r="M384" s="5">
        <v>0</v>
      </c>
      <c r="N384" s="5">
        <v>4</v>
      </c>
      <c r="O384" s="5" t="s">
        <v>28</v>
      </c>
      <c r="P384" s="5" t="s">
        <v>28</v>
      </c>
      <c r="Q384" s="5">
        <v>3</v>
      </c>
      <c r="R384" s="5" t="s">
        <v>27</v>
      </c>
      <c r="S384" s="5" t="s">
        <v>27</v>
      </c>
    </row>
    <row r="385" spans="1:19" x14ac:dyDescent="0.35">
      <c r="A385" s="8" t="s">
        <v>831</v>
      </c>
      <c r="B385" s="6" t="s">
        <v>832</v>
      </c>
      <c r="C385" s="6" t="s">
        <v>21</v>
      </c>
      <c r="D385" s="6">
        <v>24</v>
      </c>
      <c r="E385" s="6" t="s">
        <v>22</v>
      </c>
      <c r="F385" s="6" t="s">
        <v>33</v>
      </c>
      <c r="G385" s="6" t="s">
        <v>24</v>
      </c>
      <c r="H385" s="6" t="s">
        <v>131</v>
      </c>
      <c r="I385" s="6">
        <v>2</v>
      </c>
      <c r="J385" s="6">
        <v>52841</v>
      </c>
      <c r="K385" s="6" t="s">
        <v>40</v>
      </c>
      <c r="L385" s="6">
        <v>8</v>
      </c>
      <c r="M385" s="6">
        <v>38</v>
      </c>
      <c r="N385" s="6">
        <v>3</v>
      </c>
      <c r="O385" s="6" t="s">
        <v>28</v>
      </c>
      <c r="P385" s="6" t="s">
        <v>27</v>
      </c>
      <c r="Q385" s="6">
        <v>2</v>
      </c>
      <c r="R385" s="6" t="s">
        <v>27</v>
      </c>
      <c r="S385" s="6" t="s">
        <v>27</v>
      </c>
    </row>
    <row r="386" spans="1:19" x14ac:dyDescent="0.35">
      <c r="A386" s="7" t="s">
        <v>833</v>
      </c>
      <c r="B386" s="5" t="s">
        <v>834</v>
      </c>
      <c r="C386" s="5" t="s">
        <v>31</v>
      </c>
      <c r="D386" s="5">
        <v>28</v>
      </c>
      <c r="E386" s="5" t="s">
        <v>38</v>
      </c>
      <c r="F386" s="5" t="s">
        <v>43</v>
      </c>
      <c r="G386" s="5" t="s">
        <v>69</v>
      </c>
      <c r="H386" s="5" t="s">
        <v>52</v>
      </c>
      <c r="I386" s="5">
        <v>5</v>
      </c>
      <c r="J386" s="5">
        <v>80249</v>
      </c>
      <c r="K386" s="5" t="s">
        <v>40</v>
      </c>
      <c r="L386" s="5">
        <v>10</v>
      </c>
      <c r="M386" s="5">
        <v>13</v>
      </c>
      <c r="N386" s="5">
        <v>4</v>
      </c>
      <c r="O386" s="5" t="s">
        <v>28</v>
      </c>
      <c r="P386" s="5" t="s">
        <v>27</v>
      </c>
      <c r="Q386" s="5">
        <v>1</v>
      </c>
      <c r="R386" s="5" t="s">
        <v>27</v>
      </c>
      <c r="S386" s="5" t="s">
        <v>27</v>
      </c>
    </row>
    <row r="387" spans="1:19" x14ac:dyDescent="0.35">
      <c r="A387" s="8" t="s">
        <v>835</v>
      </c>
      <c r="B387" s="6" t="s">
        <v>836</v>
      </c>
      <c r="C387" s="6" t="s">
        <v>21</v>
      </c>
      <c r="D387" s="6">
        <v>49</v>
      </c>
      <c r="E387" s="6" t="s">
        <v>55</v>
      </c>
      <c r="F387" s="6" t="s">
        <v>23</v>
      </c>
      <c r="G387" s="6" t="s">
        <v>24</v>
      </c>
      <c r="H387" s="6" t="s">
        <v>52</v>
      </c>
      <c r="I387" s="6">
        <v>16</v>
      </c>
      <c r="J387" s="6">
        <v>82000</v>
      </c>
      <c r="K387" s="6" t="s">
        <v>26</v>
      </c>
      <c r="L387" s="6">
        <v>3</v>
      </c>
      <c r="M387" s="6">
        <v>48</v>
      </c>
      <c r="N387" s="6">
        <v>6</v>
      </c>
      <c r="O387" s="6" t="s">
        <v>27</v>
      </c>
      <c r="P387" s="6" t="s">
        <v>27</v>
      </c>
      <c r="Q387" s="6">
        <v>1</v>
      </c>
      <c r="R387" s="6" t="s">
        <v>27</v>
      </c>
      <c r="S387" s="6" t="s">
        <v>27</v>
      </c>
    </row>
    <row r="388" spans="1:19" x14ac:dyDescent="0.35">
      <c r="A388" s="7" t="s">
        <v>837</v>
      </c>
      <c r="B388" s="5" t="s">
        <v>838</v>
      </c>
      <c r="C388" s="5" t="s">
        <v>21</v>
      </c>
      <c r="D388" s="5">
        <v>41</v>
      </c>
      <c r="E388" s="5" t="s">
        <v>38</v>
      </c>
      <c r="F388" s="5" t="s">
        <v>48</v>
      </c>
      <c r="G388" s="5" t="s">
        <v>24</v>
      </c>
      <c r="H388" s="5" t="s">
        <v>61</v>
      </c>
      <c r="I388" s="5">
        <v>13</v>
      </c>
      <c r="J388" s="5">
        <v>40436</v>
      </c>
      <c r="K388" s="5" t="s">
        <v>35</v>
      </c>
      <c r="L388" s="5">
        <v>6</v>
      </c>
      <c r="M388" s="5">
        <v>28</v>
      </c>
      <c r="N388" s="5">
        <v>7</v>
      </c>
      <c r="O388" s="5" t="s">
        <v>27</v>
      </c>
      <c r="P388" s="5" t="s">
        <v>28</v>
      </c>
      <c r="Q388" s="5">
        <v>2</v>
      </c>
      <c r="R388" s="5" t="s">
        <v>27</v>
      </c>
      <c r="S388" s="5" t="s">
        <v>27</v>
      </c>
    </row>
    <row r="389" spans="1:19" x14ac:dyDescent="0.35">
      <c r="A389" s="8" t="s">
        <v>839</v>
      </c>
      <c r="B389" s="6" t="s">
        <v>840</v>
      </c>
      <c r="C389" s="6" t="s">
        <v>21</v>
      </c>
      <c r="D389" s="6">
        <v>41</v>
      </c>
      <c r="E389" s="6" t="s">
        <v>55</v>
      </c>
      <c r="F389" s="6" t="s">
        <v>60</v>
      </c>
      <c r="G389" s="6" t="s">
        <v>69</v>
      </c>
      <c r="H389" s="6" t="s">
        <v>52</v>
      </c>
      <c r="I389" s="6">
        <v>11</v>
      </c>
      <c r="J389" s="6">
        <v>70735</v>
      </c>
      <c r="K389" s="6" t="s">
        <v>35</v>
      </c>
      <c r="L389" s="6">
        <v>7</v>
      </c>
      <c r="M389" s="6">
        <v>42</v>
      </c>
      <c r="N389" s="6">
        <v>2</v>
      </c>
      <c r="O389" s="6" t="s">
        <v>27</v>
      </c>
      <c r="P389" s="6" t="s">
        <v>28</v>
      </c>
      <c r="Q389" s="6">
        <v>5</v>
      </c>
      <c r="R389" s="6" t="s">
        <v>27</v>
      </c>
      <c r="S389" s="6" t="s">
        <v>27</v>
      </c>
    </row>
    <row r="390" spans="1:19" x14ac:dyDescent="0.35">
      <c r="A390" s="7" t="s">
        <v>841</v>
      </c>
      <c r="B390" s="5" t="s">
        <v>842</v>
      </c>
      <c r="C390" s="5" t="s">
        <v>31</v>
      </c>
      <c r="D390" s="5">
        <v>53</v>
      </c>
      <c r="E390" s="5" t="s">
        <v>55</v>
      </c>
      <c r="F390" s="5" t="s">
        <v>23</v>
      </c>
      <c r="G390" s="5" t="s">
        <v>24</v>
      </c>
      <c r="H390" s="5" t="s">
        <v>70</v>
      </c>
      <c r="I390" s="5">
        <v>26</v>
      </c>
      <c r="J390" s="5">
        <v>82000</v>
      </c>
      <c r="K390" s="5" t="s">
        <v>45</v>
      </c>
      <c r="L390" s="5">
        <v>6</v>
      </c>
      <c r="M390" s="5">
        <v>33</v>
      </c>
      <c r="N390" s="5">
        <v>4</v>
      </c>
      <c r="O390" s="5" t="s">
        <v>28</v>
      </c>
      <c r="P390" s="5" t="s">
        <v>28</v>
      </c>
      <c r="Q390" s="5">
        <v>2</v>
      </c>
      <c r="R390" s="5" t="s">
        <v>27</v>
      </c>
      <c r="S390" s="5" t="s">
        <v>27</v>
      </c>
    </row>
    <row r="391" spans="1:19" x14ac:dyDescent="0.35">
      <c r="A391" s="8" t="s">
        <v>843</v>
      </c>
      <c r="B391" s="6" t="s">
        <v>844</v>
      </c>
      <c r="C391" s="6" t="s">
        <v>21</v>
      </c>
      <c r="D391" s="6">
        <v>33</v>
      </c>
      <c r="E391" s="6" t="s">
        <v>22</v>
      </c>
      <c r="F391" s="6" t="s">
        <v>48</v>
      </c>
      <c r="G391" s="6" t="s">
        <v>24</v>
      </c>
      <c r="H391" s="6" t="s">
        <v>49</v>
      </c>
      <c r="I391" s="6">
        <v>8</v>
      </c>
      <c r="J391" s="6">
        <v>45385</v>
      </c>
      <c r="K391" s="6" t="s">
        <v>45</v>
      </c>
      <c r="L391" s="6">
        <v>8</v>
      </c>
      <c r="M391" s="6">
        <v>30</v>
      </c>
      <c r="N391" s="6">
        <v>3</v>
      </c>
      <c r="O391" s="6" t="s">
        <v>28</v>
      </c>
      <c r="P391" s="6" t="s">
        <v>28</v>
      </c>
      <c r="Q391" s="6">
        <v>4</v>
      </c>
      <c r="R391" s="6" t="s">
        <v>27</v>
      </c>
      <c r="S391" s="6" t="s">
        <v>27</v>
      </c>
    </row>
    <row r="392" spans="1:19" x14ac:dyDescent="0.35">
      <c r="A392" s="7" t="s">
        <v>845</v>
      </c>
      <c r="B392" s="5" t="s">
        <v>846</v>
      </c>
      <c r="C392" s="5" t="s">
        <v>21</v>
      </c>
      <c r="D392" s="5">
        <v>46</v>
      </c>
      <c r="E392" s="5" t="s">
        <v>32</v>
      </c>
      <c r="F392" s="5" t="s">
        <v>60</v>
      </c>
      <c r="G392" s="5" t="s">
        <v>24</v>
      </c>
      <c r="H392" s="5" t="s">
        <v>34</v>
      </c>
      <c r="I392" s="5">
        <v>19</v>
      </c>
      <c r="J392" s="5">
        <v>57173</v>
      </c>
      <c r="K392" s="5" t="s">
        <v>35</v>
      </c>
      <c r="L392" s="5">
        <v>1</v>
      </c>
      <c r="M392" s="5">
        <v>17</v>
      </c>
      <c r="N392" s="5">
        <v>1</v>
      </c>
      <c r="O392" s="5" t="s">
        <v>27</v>
      </c>
      <c r="P392" s="5" t="s">
        <v>27</v>
      </c>
      <c r="Q392" s="5">
        <v>1</v>
      </c>
      <c r="R392" s="5" t="s">
        <v>27</v>
      </c>
      <c r="S392" s="5" t="s">
        <v>27</v>
      </c>
    </row>
    <row r="393" spans="1:19" x14ac:dyDescent="0.35">
      <c r="A393" s="8" t="s">
        <v>847</v>
      </c>
      <c r="B393" s="6" t="s">
        <v>848</v>
      </c>
      <c r="C393" s="6" t="s">
        <v>21</v>
      </c>
      <c r="D393" s="6">
        <v>54</v>
      </c>
      <c r="E393" s="6" t="s">
        <v>38</v>
      </c>
      <c r="F393" s="6" t="s">
        <v>39</v>
      </c>
      <c r="G393" s="6" t="s">
        <v>24</v>
      </c>
      <c r="H393" s="6" t="s">
        <v>49</v>
      </c>
      <c r="I393" s="6">
        <v>12</v>
      </c>
      <c r="J393" s="6">
        <v>59483</v>
      </c>
      <c r="K393" s="6" t="s">
        <v>45</v>
      </c>
      <c r="L393" s="6">
        <v>6</v>
      </c>
      <c r="M393" s="6">
        <v>22</v>
      </c>
      <c r="N393" s="6">
        <v>7</v>
      </c>
      <c r="O393" s="6" t="s">
        <v>27</v>
      </c>
      <c r="P393" s="6" t="s">
        <v>27</v>
      </c>
      <c r="Q393" s="6">
        <v>3</v>
      </c>
      <c r="R393" s="6" t="s">
        <v>27</v>
      </c>
      <c r="S393" s="6" t="s">
        <v>27</v>
      </c>
    </row>
    <row r="394" spans="1:19" x14ac:dyDescent="0.35">
      <c r="A394" s="7" t="s">
        <v>849</v>
      </c>
      <c r="B394" s="5" t="s">
        <v>850</v>
      </c>
      <c r="C394" s="5" t="s">
        <v>31</v>
      </c>
      <c r="D394" s="5">
        <v>54</v>
      </c>
      <c r="E394" s="5" t="s">
        <v>55</v>
      </c>
      <c r="F394" s="5" t="s">
        <v>60</v>
      </c>
      <c r="G394" s="5" t="s">
        <v>44</v>
      </c>
      <c r="H394" s="5" t="s">
        <v>34</v>
      </c>
      <c r="I394" s="5">
        <v>17</v>
      </c>
      <c r="J394" s="5">
        <v>63142</v>
      </c>
      <c r="K394" s="5" t="s">
        <v>26</v>
      </c>
      <c r="L394" s="5">
        <v>6</v>
      </c>
      <c r="M394" s="5">
        <v>56</v>
      </c>
      <c r="N394" s="5">
        <v>5</v>
      </c>
      <c r="O394" s="5" t="s">
        <v>27</v>
      </c>
      <c r="P394" s="5" t="s">
        <v>27</v>
      </c>
      <c r="Q394" s="5">
        <v>4</v>
      </c>
      <c r="R394" s="5" t="s">
        <v>28</v>
      </c>
      <c r="S394" s="5" t="s">
        <v>27</v>
      </c>
    </row>
    <row r="395" spans="1:19" x14ac:dyDescent="0.35">
      <c r="A395" s="8" t="s">
        <v>851</v>
      </c>
      <c r="B395" s="6" t="s">
        <v>852</v>
      </c>
      <c r="C395" s="6" t="s">
        <v>21</v>
      </c>
      <c r="D395" s="6">
        <v>52</v>
      </c>
      <c r="E395" s="6" t="s">
        <v>55</v>
      </c>
      <c r="F395" s="6" t="s">
        <v>39</v>
      </c>
      <c r="G395" s="6" t="s">
        <v>24</v>
      </c>
      <c r="H395" s="6" t="s">
        <v>34</v>
      </c>
      <c r="I395" s="6">
        <v>24</v>
      </c>
      <c r="J395" s="6">
        <v>72847</v>
      </c>
      <c r="K395" s="6" t="s">
        <v>40</v>
      </c>
      <c r="L395" s="6">
        <v>9</v>
      </c>
      <c r="M395" s="6">
        <v>18</v>
      </c>
      <c r="N395" s="6">
        <v>7</v>
      </c>
      <c r="O395" s="6" t="s">
        <v>27</v>
      </c>
      <c r="P395" s="6" t="s">
        <v>27</v>
      </c>
      <c r="Q395" s="6">
        <v>5</v>
      </c>
      <c r="R395" s="6" t="s">
        <v>27</v>
      </c>
      <c r="S395" s="6" t="s">
        <v>27</v>
      </c>
    </row>
    <row r="396" spans="1:19" x14ac:dyDescent="0.35">
      <c r="A396" s="7" t="s">
        <v>853</v>
      </c>
      <c r="B396" s="5" t="s">
        <v>854</v>
      </c>
      <c r="C396" s="5" t="s">
        <v>21</v>
      </c>
      <c r="D396" s="5">
        <v>46</v>
      </c>
      <c r="E396" s="5" t="s">
        <v>55</v>
      </c>
      <c r="F396" s="5" t="s">
        <v>23</v>
      </c>
      <c r="G396" s="5" t="s">
        <v>24</v>
      </c>
      <c r="H396" s="5" t="s">
        <v>49</v>
      </c>
      <c r="I396" s="5">
        <v>21</v>
      </c>
      <c r="J396" s="5">
        <v>82000</v>
      </c>
      <c r="K396" s="5" t="s">
        <v>26</v>
      </c>
      <c r="L396" s="5">
        <v>2</v>
      </c>
      <c r="M396" s="5">
        <v>32</v>
      </c>
      <c r="N396" s="5">
        <v>5</v>
      </c>
      <c r="O396" s="5" t="s">
        <v>28</v>
      </c>
      <c r="P396" s="5" t="s">
        <v>28</v>
      </c>
      <c r="Q396" s="5">
        <v>4</v>
      </c>
      <c r="R396" s="5" t="s">
        <v>28</v>
      </c>
      <c r="S396" s="5" t="s">
        <v>27</v>
      </c>
    </row>
    <row r="397" spans="1:19" x14ac:dyDescent="0.35">
      <c r="A397" s="8" t="s">
        <v>855</v>
      </c>
      <c r="B397" s="6" t="s">
        <v>856</v>
      </c>
      <c r="C397" s="6" t="s">
        <v>31</v>
      </c>
      <c r="D397" s="6">
        <v>51</v>
      </c>
      <c r="E397" s="6" t="s">
        <v>22</v>
      </c>
      <c r="F397" s="6" t="s">
        <v>48</v>
      </c>
      <c r="G397" s="6" t="s">
        <v>24</v>
      </c>
      <c r="H397" s="6" t="s">
        <v>52</v>
      </c>
      <c r="I397" s="6">
        <v>14</v>
      </c>
      <c r="J397" s="6">
        <v>48614</v>
      </c>
      <c r="K397" s="6" t="s">
        <v>45</v>
      </c>
      <c r="L397" s="6">
        <v>6</v>
      </c>
      <c r="M397" s="6">
        <v>25</v>
      </c>
      <c r="N397" s="6">
        <v>4</v>
      </c>
      <c r="O397" s="6" t="s">
        <v>28</v>
      </c>
      <c r="P397" s="6" t="s">
        <v>27</v>
      </c>
      <c r="Q397" s="6">
        <v>3</v>
      </c>
      <c r="R397" s="6" t="s">
        <v>27</v>
      </c>
      <c r="S397" s="6" t="s">
        <v>27</v>
      </c>
    </row>
    <row r="398" spans="1:19" x14ac:dyDescent="0.35">
      <c r="A398" s="7" t="s">
        <v>857</v>
      </c>
      <c r="B398" s="5" t="s">
        <v>858</v>
      </c>
      <c r="C398" s="5" t="s">
        <v>21</v>
      </c>
      <c r="D398" s="5">
        <v>46</v>
      </c>
      <c r="E398" s="5" t="s">
        <v>38</v>
      </c>
      <c r="F398" s="5" t="s">
        <v>60</v>
      </c>
      <c r="G398" s="5" t="s">
        <v>24</v>
      </c>
      <c r="H398" s="5" t="s">
        <v>131</v>
      </c>
      <c r="I398" s="5">
        <v>14</v>
      </c>
      <c r="J398" s="5">
        <v>54569</v>
      </c>
      <c r="K398" s="5" t="s">
        <v>26</v>
      </c>
      <c r="L398" s="5">
        <v>6</v>
      </c>
      <c r="M398" s="5">
        <v>38</v>
      </c>
      <c r="N398" s="5">
        <v>6</v>
      </c>
      <c r="O398" s="5" t="s">
        <v>27</v>
      </c>
      <c r="P398" s="5" t="s">
        <v>27</v>
      </c>
      <c r="Q398" s="5">
        <v>3</v>
      </c>
      <c r="R398" s="5" t="s">
        <v>28</v>
      </c>
      <c r="S398" s="5" t="s">
        <v>27</v>
      </c>
    </row>
    <row r="399" spans="1:19" x14ac:dyDescent="0.35">
      <c r="A399" s="8" t="s">
        <v>859</v>
      </c>
      <c r="B399" s="6" t="s">
        <v>860</v>
      </c>
      <c r="C399" s="6" t="s">
        <v>31</v>
      </c>
      <c r="D399" s="6">
        <v>55</v>
      </c>
      <c r="E399" s="6" t="s">
        <v>22</v>
      </c>
      <c r="F399" s="6" t="s">
        <v>43</v>
      </c>
      <c r="G399" s="6" t="s">
        <v>24</v>
      </c>
      <c r="H399" s="6" t="s">
        <v>52</v>
      </c>
      <c r="I399" s="6">
        <v>13</v>
      </c>
      <c r="J399" s="6">
        <v>75388</v>
      </c>
      <c r="K399" s="6" t="s">
        <v>26</v>
      </c>
      <c r="L399" s="6">
        <v>8</v>
      </c>
      <c r="M399" s="6">
        <v>11</v>
      </c>
      <c r="N399" s="6">
        <v>6</v>
      </c>
      <c r="O399" s="6" t="s">
        <v>28</v>
      </c>
      <c r="P399" s="6" t="s">
        <v>27</v>
      </c>
      <c r="Q399" s="6">
        <v>5</v>
      </c>
      <c r="R399" s="6" t="s">
        <v>27</v>
      </c>
      <c r="S399" s="6" t="s">
        <v>27</v>
      </c>
    </row>
    <row r="400" spans="1:19" x14ac:dyDescent="0.35">
      <c r="A400" s="7" t="s">
        <v>861</v>
      </c>
      <c r="B400" s="5" t="s">
        <v>862</v>
      </c>
      <c r="C400" s="5" t="s">
        <v>31</v>
      </c>
      <c r="D400" s="5">
        <v>23</v>
      </c>
      <c r="E400" s="5" t="s">
        <v>55</v>
      </c>
      <c r="F400" s="5" t="s">
        <v>33</v>
      </c>
      <c r="G400" s="5" t="s">
        <v>24</v>
      </c>
      <c r="H400" s="5" t="s">
        <v>61</v>
      </c>
      <c r="I400" s="5">
        <v>1</v>
      </c>
      <c r="J400" s="5">
        <v>62894</v>
      </c>
      <c r="K400" s="5" t="s">
        <v>26</v>
      </c>
      <c r="L400" s="5">
        <v>4</v>
      </c>
      <c r="M400" s="5">
        <v>50</v>
      </c>
      <c r="N400" s="5">
        <v>3</v>
      </c>
      <c r="O400" s="5" t="s">
        <v>27</v>
      </c>
      <c r="P400" s="5" t="s">
        <v>28</v>
      </c>
      <c r="Q400" s="5">
        <v>3</v>
      </c>
      <c r="R400" s="5" t="s">
        <v>27</v>
      </c>
      <c r="S400" s="5" t="s">
        <v>27</v>
      </c>
    </row>
    <row r="401" spans="1:19" x14ac:dyDescent="0.35">
      <c r="A401" s="8" t="s">
        <v>863</v>
      </c>
      <c r="B401" s="6" t="s">
        <v>864</v>
      </c>
      <c r="C401" s="6" t="s">
        <v>31</v>
      </c>
      <c r="D401" s="6">
        <v>24</v>
      </c>
      <c r="E401" s="6" t="s">
        <v>38</v>
      </c>
      <c r="F401" s="6" t="s">
        <v>39</v>
      </c>
      <c r="G401" s="6" t="s">
        <v>24</v>
      </c>
      <c r="H401" s="6" t="s">
        <v>70</v>
      </c>
      <c r="I401" s="6">
        <v>1</v>
      </c>
      <c r="J401" s="6">
        <v>47847</v>
      </c>
      <c r="K401" s="6" t="s">
        <v>26</v>
      </c>
      <c r="L401" s="6">
        <v>8</v>
      </c>
      <c r="M401" s="6">
        <v>33</v>
      </c>
      <c r="N401" s="6">
        <v>2</v>
      </c>
      <c r="O401" s="6" t="s">
        <v>28</v>
      </c>
      <c r="P401" s="6" t="s">
        <v>27</v>
      </c>
      <c r="Q401" s="6">
        <v>1</v>
      </c>
      <c r="R401" s="6" t="s">
        <v>27</v>
      </c>
      <c r="S401" s="6" t="s">
        <v>27</v>
      </c>
    </row>
    <row r="402" spans="1:19" x14ac:dyDescent="0.35">
      <c r="A402" s="7" t="s">
        <v>865</v>
      </c>
      <c r="B402" s="5" t="s">
        <v>866</v>
      </c>
      <c r="C402" s="5" t="s">
        <v>31</v>
      </c>
      <c r="D402" s="5">
        <v>27</v>
      </c>
      <c r="E402" s="5" t="s">
        <v>22</v>
      </c>
      <c r="F402" s="5" t="s">
        <v>39</v>
      </c>
      <c r="G402" s="5" t="s">
        <v>44</v>
      </c>
      <c r="H402" s="5" t="s">
        <v>52</v>
      </c>
      <c r="I402" s="5">
        <v>2</v>
      </c>
      <c r="J402" s="5">
        <v>44820</v>
      </c>
      <c r="K402" s="5" t="s">
        <v>35</v>
      </c>
      <c r="L402" s="5">
        <v>5</v>
      </c>
      <c r="M402" s="5">
        <v>55</v>
      </c>
      <c r="N402" s="5">
        <v>5</v>
      </c>
      <c r="O402" s="5" t="s">
        <v>28</v>
      </c>
      <c r="P402" s="5" t="s">
        <v>28</v>
      </c>
      <c r="Q402" s="5">
        <v>2</v>
      </c>
      <c r="R402" s="5" t="s">
        <v>27</v>
      </c>
      <c r="S402" s="5" t="s">
        <v>27</v>
      </c>
    </row>
    <row r="403" spans="1:19" x14ac:dyDescent="0.35">
      <c r="A403" s="8" t="s">
        <v>867</v>
      </c>
      <c r="B403" s="6" t="s">
        <v>868</v>
      </c>
      <c r="C403" s="6" t="s">
        <v>21</v>
      </c>
      <c r="D403" s="6">
        <v>39</v>
      </c>
      <c r="E403" s="6" t="s">
        <v>32</v>
      </c>
      <c r="F403" s="6" t="s">
        <v>39</v>
      </c>
      <c r="G403" s="6" t="s">
        <v>69</v>
      </c>
      <c r="H403" s="6" t="s">
        <v>49</v>
      </c>
      <c r="I403" s="6">
        <v>13</v>
      </c>
      <c r="J403" s="6">
        <v>47882</v>
      </c>
      <c r="K403" s="6" t="s">
        <v>45</v>
      </c>
      <c r="L403" s="6">
        <v>2</v>
      </c>
      <c r="M403" s="6">
        <v>22</v>
      </c>
      <c r="N403" s="6">
        <v>7</v>
      </c>
      <c r="O403" s="6" t="s">
        <v>27</v>
      </c>
      <c r="P403" s="6" t="s">
        <v>28</v>
      </c>
      <c r="Q403" s="6">
        <v>3</v>
      </c>
      <c r="R403" s="6" t="s">
        <v>28</v>
      </c>
      <c r="S403" s="6" t="s">
        <v>28</v>
      </c>
    </row>
    <row r="404" spans="1:19" x14ac:dyDescent="0.35">
      <c r="A404" s="7" t="s">
        <v>869</v>
      </c>
      <c r="B404" s="5" t="s">
        <v>870</v>
      </c>
      <c r="C404" s="5" t="s">
        <v>21</v>
      </c>
      <c r="D404" s="5">
        <v>26</v>
      </c>
      <c r="E404" s="5" t="s">
        <v>38</v>
      </c>
      <c r="F404" s="5" t="s">
        <v>64</v>
      </c>
      <c r="G404" s="5" t="s">
        <v>69</v>
      </c>
      <c r="H404" s="5" t="s">
        <v>131</v>
      </c>
      <c r="I404" s="5">
        <v>4</v>
      </c>
      <c r="J404" s="5">
        <v>63685</v>
      </c>
      <c r="K404" s="5" t="s">
        <v>35</v>
      </c>
      <c r="L404" s="5">
        <v>2</v>
      </c>
      <c r="M404" s="5">
        <v>42</v>
      </c>
      <c r="N404" s="5">
        <v>5</v>
      </c>
      <c r="O404" s="5" t="s">
        <v>28</v>
      </c>
      <c r="P404" s="5" t="s">
        <v>27</v>
      </c>
      <c r="Q404" s="5">
        <v>3</v>
      </c>
      <c r="R404" s="5" t="s">
        <v>27</v>
      </c>
      <c r="S404" s="5" t="s">
        <v>27</v>
      </c>
    </row>
    <row r="405" spans="1:19" x14ac:dyDescent="0.35">
      <c r="A405" s="8" t="s">
        <v>871</v>
      </c>
      <c r="B405" s="6" t="s">
        <v>872</v>
      </c>
      <c r="C405" s="6" t="s">
        <v>21</v>
      </c>
      <c r="D405" s="6">
        <v>38</v>
      </c>
      <c r="E405" s="6" t="s">
        <v>38</v>
      </c>
      <c r="F405" s="6" t="s">
        <v>33</v>
      </c>
      <c r="G405" s="6" t="s">
        <v>24</v>
      </c>
      <c r="H405" s="6" t="s">
        <v>61</v>
      </c>
      <c r="I405" s="6">
        <v>11</v>
      </c>
      <c r="J405" s="6">
        <v>75432</v>
      </c>
      <c r="K405" s="6" t="s">
        <v>45</v>
      </c>
      <c r="L405" s="6">
        <v>3</v>
      </c>
      <c r="M405" s="6">
        <v>47</v>
      </c>
      <c r="N405" s="6">
        <v>0</v>
      </c>
      <c r="O405" s="6" t="s">
        <v>28</v>
      </c>
      <c r="P405" s="6" t="s">
        <v>27</v>
      </c>
      <c r="Q405" s="6">
        <v>4</v>
      </c>
      <c r="R405" s="6" t="s">
        <v>27</v>
      </c>
      <c r="S405" s="6" t="s">
        <v>27</v>
      </c>
    </row>
    <row r="406" spans="1:19" x14ac:dyDescent="0.35">
      <c r="A406" s="7" t="s">
        <v>873</v>
      </c>
      <c r="B406" s="5" t="s">
        <v>874</v>
      </c>
      <c r="C406" s="5" t="s">
        <v>31</v>
      </c>
      <c r="D406" s="5">
        <v>25</v>
      </c>
      <c r="E406" s="5" t="s">
        <v>22</v>
      </c>
      <c r="F406" s="5" t="s">
        <v>33</v>
      </c>
      <c r="G406" s="5" t="s">
        <v>24</v>
      </c>
      <c r="H406" s="5" t="s">
        <v>52</v>
      </c>
      <c r="I406" s="5">
        <v>2</v>
      </c>
      <c r="J406" s="5">
        <v>50669</v>
      </c>
      <c r="K406" s="5" t="s">
        <v>35</v>
      </c>
      <c r="L406" s="5">
        <v>4</v>
      </c>
      <c r="M406" s="5">
        <v>46</v>
      </c>
      <c r="N406" s="5">
        <v>5</v>
      </c>
      <c r="O406" s="5" t="s">
        <v>27</v>
      </c>
      <c r="P406" s="5" t="s">
        <v>27</v>
      </c>
      <c r="Q406" s="5">
        <v>4</v>
      </c>
      <c r="R406" s="5" t="s">
        <v>27</v>
      </c>
      <c r="S406" s="5" t="s">
        <v>28</v>
      </c>
    </row>
    <row r="407" spans="1:19" x14ac:dyDescent="0.35">
      <c r="A407" s="8" t="s">
        <v>875</v>
      </c>
      <c r="B407" s="6" t="s">
        <v>876</v>
      </c>
      <c r="C407" s="6" t="s">
        <v>31</v>
      </c>
      <c r="D407" s="6">
        <v>43</v>
      </c>
      <c r="E407" s="6" t="s">
        <v>55</v>
      </c>
      <c r="F407" s="6" t="s">
        <v>48</v>
      </c>
      <c r="G407" s="6" t="s">
        <v>24</v>
      </c>
      <c r="H407" s="6" t="s">
        <v>52</v>
      </c>
      <c r="I407" s="6">
        <v>15</v>
      </c>
      <c r="J407" s="6">
        <v>69181</v>
      </c>
      <c r="K407" s="6" t="s">
        <v>45</v>
      </c>
      <c r="L407" s="6">
        <v>6</v>
      </c>
      <c r="M407" s="6">
        <v>36</v>
      </c>
      <c r="N407" s="6">
        <v>0</v>
      </c>
      <c r="O407" s="6" t="s">
        <v>27</v>
      </c>
      <c r="P407" s="6" t="s">
        <v>28</v>
      </c>
      <c r="Q407" s="6">
        <v>3</v>
      </c>
      <c r="R407" s="6" t="s">
        <v>27</v>
      </c>
      <c r="S407" s="6" t="s">
        <v>27</v>
      </c>
    </row>
    <row r="408" spans="1:19" x14ac:dyDescent="0.35">
      <c r="A408" s="7" t="s">
        <v>877</v>
      </c>
      <c r="B408" s="5" t="s">
        <v>878</v>
      </c>
      <c r="C408" s="5" t="s">
        <v>31</v>
      </c>
      <c r="D408" s="5">
        <v>27</v>
      </c>
      <c r="E408" s="5" t="s">
        <v>38</v>
      </c>
      <c r="F408" s="5" t="s">
        <v>60</v>
      </c>
      <c r="G408" s="5" t="s">
        <v>24</v>
      </c>
      <c r="H408" s="5" t="s">
        <v>52</v>
      </c>
      <c r="I408" s="5">
        <v>5</v>
      </c>
      <c r="J408" s="5">
        <v>67798</v>
      </c>
      <c r="K408" s="5" t="s">
        <v>35</v>
      </c>
      <c r="L408" s="5">
        <v>9</v>
      </c>
      <c r="M408" s="5">
        <v>51</v>
      </c>
      <c r="N408" s="5">
        <v>2</v>
      </c>
      <c r="O408" s="5" t="s">
        <v>28</v>
      </c>
      <c r="P408" s="5" t="s">
        <v>28</v>
      </c>
      <c r="Q408" s="5">
        <v>5</v>
      </c>
      <c r="R408" s="5" t="s">
        <v>27</v>
      </c>
      <c r="S408" s="5" t="s">
        <v>27</v>
      </c>
    </row>
    <row r="409" spans="1:19" x14ac:dyDescent="0.35">
      <c r="A409" s="8" t="s">
        <v>879</v>
      </c>
      <c r="B409" s="6" t="s">
        <v>880</v>
      </c>
      <c r="C409" s="6" t="s">
        <v>21</v>
      </c>
      <c r="D409" s="6">
        <v>49</v>
      </c>
      <c r="E409" s="6" t="s">
        <v>55</v>
      </c>
      <c r="F409" s="6" t="s">
        <v>43</v>
      </c>
      <c r="G409" s="6" t="s">
        <v>24</v>
      </c>
      <c r="H409" s="6" t="s">
        <v>131</v>
      </c>
      <c r="I409" s="6">
        <v>12</v>
      </c>
      <c r="J409" s="6">
        <v>69295</v>
      </c>
      <c r="K409" s="6" t="s">
        <v>35</v>
      </c>
      <c r="L409" s="6">
        <v>10</v>
      </c>
      <c r="M409" s="6">
        <v>29</v>
      </c>
      <c r="N409" s="6">
        <v>6</v>
      </c>
      <c r="O409" s="6" t="s">
        <v>28</v>
      </c>
      <c r="P409" s="6" t="s">
        <v>28</v>
      </c>
      <c r="Q409" s="6">
        <v>5</v>
      </c>
      <c r="R409" s="6" t="s">
        <v>27</v>
      </c>
      <c r="S409" s="6" t="s">
        <v>28</v>
      </c>
    </row>
    <row r="410" spans="1:19" x14ac:dyDescent="0.35">
      <c r="A410" s="7" t="s">
        <v>881</v>
      </c>
      <c r="B410" s="5" t="s">
        <v>882</v>
      </c>
      <c r="C410" s="5" t="s">
        <v>31</v>
      </c>
      <c r="D410" s="5">
        <v>32</v>
      </c>
      <c r="E410" s="5" t="s">
        <v>32</v>
      </c>
      <c r="F410" s="5" t="s">
        <v>60</v>
      </c>
      <c r="G410" s="5" t="s">
        <v>24</v>
      </c>
      <c r="H410" s="5" t="s">
        <v>70</v>
      </c>
      <c r="I410" s="5">
        <v>5</v>
      </c>
      <c r="J410" s="5">
        <v>50402</v>
      </c>
      <c r="K410" s="5" t="s">
        <v>45</v>
      </c>
      <c r="L410" s="5">
        <v>9</v>
      </c>
      <c r="M410" s="5">
        <v>28</v>
      </c>
      <c r="N410" s="5">
        <v>4</v>
      </c>
      <c r="O410" s="5" t="s">
        <v>28</v>
      </c>
      <c r="P410" s="5" t="s">
        <v>28</v>
      </c>
      <c r="Q410" s="5">
        <v>3</v>
      </c>
      <c r="R410" s="5" t="s">
        <v>28</v>
      </c>
      <c r="S410" s="5" t="s">
        <v>27</v>
      </c>
    </row>
    <row r="411" spans="1:19" x14ac:dyDescent="0.35">
      <c r="A411" s="8" t="s">
        <v>883</v>
      </c>
      <c r="B411" s="6" t="s">
        <v>884</v>
      </c>
      <c r="C411" s="6" t="s">
        <v>31</v>
      </c>
      <c r="D411" s="6">
        <v>44</v>
      </c>
      <c r="E411" s="6" t="s">
        <v>38</v>
      </c>
      <c r="F411" s="6" t="s">
        <v>64</v>
      </c>
      <c r="G411" s="6" t="s">
        <v>24</v>
      </c>
      <c r="H411" s="6" t="s">
        <v>131</v>
      </c>
      <c r="I411" s="6">
        <v>17</v>
      </c>
      <c r="J411" s="6">
        <v>70896</v>
      </c>
      <c r="K411" s="6" t="s">
        <v>45</v>
      </c>
      <c r="L411" s="6">
        <v>4</v>
      </c>
      <c r="M411" s="6">
        <v>31</v>
      </c>
      <c r="N411" s="6">
        <v>4</v>
      </c>
      <c r="O411" s="6" t="s">
        <v>27</v>
      </c>
      <c r="P411" s="6" t="s">
        <v>28</v>
      </c>
      <c r="Q411" s="6">
        <v>4</v>
      </c>
      <c r="R411" s="6" t="s">
        <v>28</v>
      </c>
      <c r="S411" s="6" t="s">
        <v>27</v>
      </c>
    </row>
    <row r="412" spans="1:19" x14ac:dyDescent="0.35">
      <c r="A412" s="7" t="s">
        <v>885</v>
      </c>
      <c r="B412" s="5" t="s">
        <v>886</v>
      </c>
      <c r="C412" s="5" t="s">
        <v>31</v>
      </c>
      <c r="D412" s="5">
        <v>37</v>
      </c>
      <c r="E412" s="5" t="s">
        <v>55</v>
      </c>
      <c r="F412" s="5" t="s">
        <v>33</v>
      </c>
      <c r="G412" s="5" t="s">
        <v>24</v>
      </c>
      <c r="H412" s="5" t="s">
        <v>52</v>
      </c>
      <c r="I412" s="5">
        <v>9</v>
      </c>
      <c r="J412" s="5">
        <v>60921</v>
      </c>
      <c r="K412" s="5" t="s">
        <v>45</v>
      </c>
      <c r="L412" s="5">
        <v>4</v>
      </c>
      <c r="M412" s="5">
        <v>32</v>
      </c>
      <c r="N412" s="5">
        <v>2</v>
      </c>
      <c r="O412" s="5" t="s">
        <v>27</v>
      </c>
      <c r="P412" s="5" t="s">
        <v>28</v>
      </c>
      <c r="Q412" s="5">
        <v>2</v>
      </c>
      <c r="R412" s="5" t="s">
        <v>28</v>
      </c>
      <c r="S412" s="5" t="s">
        <v>27</v>
      </c>
    </row>
    <row r="413" spans="1:19" x14ac:dyDescent="0.35">
      <c r="A413" s="8" t="s">
        <v>887</v>
      </c>
      <c r="B413" s="6" t="s">
        <v>888</v>
      </c>
      <c r="C413" s="6" t="s">
        <v>21</v>
      </c>
      <c r="D413" s="6">
        <v>41</v>
      </c>
      <c r="E413" s="6" t="s">
        <v>38</v>
      </c>
      <c r="F413" s="6" t="s">
        <v>39</v>
      </c>
      <c r="G413" s="6" t="s">
        <v>24</v>
      </c>
      <c r="H413" s="6" t="s">
        <v>34</v>
      </c>
      <c r="I413" s="6">
        <v>13</v>
      </c>
      <c r="J413" s="6">
        <v>47308</v>
      </c>
      <c r="K413" s="6" t="s">
        <v>45</v>
      </c>
      <c r="L413" s="6">
        <v>8</v>
      </c>
      <c r="M413" s="6">
        <v>43</v>
      </c>
      <c r="N413" s="6">
        <v>0</v>
      </c>
      <c r="O413" s="6" t="s">
        <v>27</v>
      </c>
      <c r="P413" s="6" t="s">
        <v>28</v>
      </c>
      <c r="Q413" s="6">
        <v>2</v>
      </c>
      <c r="R413" s="6" t="s">
        <v>27</v>
      </c>
      <c r="S413" s="6" t="s">
        <v>27</v>
      </c>
    </row>
    <row r="414" spans="1:19" x14ac:dyDescent="0.35">
      <c r="A414" s="7" t="s">
        <v>889</v>
      </c>
      <c r="B414" s="5" t="s">
        <v>890</v>
      </c>
      <c r="C414" s="5" t="s">
        <v>21</v>
      </c>
      <c r="D414" s="5">
        <v>46</v>
      </c>
      <c r="E414" s="5" t="s">
        <v>55</v>
      </c>
      <c r="F414" s="5" t="s">
        <v>48</v>
      </c>
      <c r="G414" s="5" t="s">
        <v>24</v>
      </c>
      <c r="H414" s="5" t="s">
        <v>61</v>
      </c>
      <c r="I414" s="5">
        <v>16</v>
      </c>
      <c r="J414" s="5">
        <v>54060</v>
      </c>
      <c r="K414" s="5" t="s">
        <v>26</v>
      </c>
      <c r="L414" s="5">
        <v>2</v>
      </c>
      <c r="M414" s="5">
        <v>40</v>
      </c>
      <c r="N414" s="5">
        <v>4</v>
      </c>
      <c r="O414" s="5" t="s">
        <v>28</v>
      </c>
      <c r="P414" s="5" t="s">
        <v>28</v>
      </c>
      <c r="Q414" s="5">
        <v>5</v>
      </c>
      <c r="R414" s="5" t="s">
        <v>27</v>
      </c>
      <c r="S414" s="5" t="s">
        <v>28</v>
      </c>
    </row>
    <row r="415" spans="1:19" x14ac:dyDescent="0.35">
      <c r="A415" s="8" t="s">
        <v>891</v>
      </c>
      <c r="B415" s="6" t="s">
        <v>892</v>
      </c>
      <c r="C415" s="6" t="s">
        <v>31</v>
      </c>
      <c r="D415" s="6">
        <v>41</v>
      </c>
      <c r="E415" s="6" t="s">
        <v>55</v>
      </c>
      <c r="F415" s="6" t="s">
        <v>48</v>
      </c>
      <c r="G415" s="6" t="s">
        <v>69</v>
      </c>
      <c r="H415" s="6" t="s">
        <v>49</v>
      </c>
      <c r="I415" s="6">
        <v>8</v>
      </c>
      <c r="J415" s="6">
        <v>46418</v>
      </c>
      <c r="K415" s="6" t="s">
        <v>35</v>
      </c>
      <c r="L415" s="6">
        <v>1</v>
      </c>
      <c r="M415" s="6">
        <v>36</v>
      </c>
      <c r="N415" s="6">
        <v>5</v>
      </c>
      <c r="O415" s="6" t="s">
        <v>27</v>
      </c>
      <c r="P415" s="6" t="s">
        <v>28</v>
      </c>
      <c r="Q415" s="6">
        <v>4</v>
      </c>
      <c r="R415" s="6" t="s">
        <v>27</v>
      </c>
      <c r="S415" s="6" t="s">
        <v>27</v>
      </c>
    </row>
    <row r="416" spans="1:19" x14ac:dyDescent="0.35">
      <c r="A416" s="7" t="s">
        <v>893</v>
      </c>
      <c r="B416" s="5" t="s">
        <v>894</v>
      </c>
      <c r="C416" s="5" t="s">
        <v>21</v>
      </c>
      <c r="D416" s="5">
        <v>44</v>
      </c>
      <c r="E416" s="5" t="s">
        <v>38</v>
      </c>
      <c r="F416" s="5" t="s">
        <v>64</v>
      </c>
      <c r="G416" s="5" t="s">
        <v>24</v>
      </c>
      <c r="H416" s="5" t="s">
        <v>895</v>
      </c>
      <c r="I416" s="5">
        <v>17</v>
      </c>
      <c r="J416" s="5">
        <v>77220</v>
      </c>
      <c r="K416" s="5" t="s">
        <v>35</v>
      </c>
      <c r="L416" s="5">
        <v>2</v>
      </c>
      <c r="M416" s="5">
        <v>41</v>
      </c>
      <c r="N416" s="5">
        <v>6</v>
      </c>
      <c r="O416" s="5" t="s">
        <v>27</v>
      </c>
      <c r="P416" s="5" t="s">
        <v>28</v>
      </c>
      <c r="Q416" s="5">
        <v>2</v>
      </c>
      <c r="R416" s="5" t="s">
        <v>28</v>
      </c>
      <c r="S416" s="5" t="s">
        <v>28</v>
      </c>
    </row>
    <row r="417" spans="1:19" x14ac:dyDescent="0.35">
      <c r="A417" s="8" t="s">
        <v>896</v>
      </c>
      <c r="B417" s="6" t="s">
        <v>897</v>
      </c>
      <c r="C417" s="6" t="s">
        <v>31</v>
      </c>
      <c r="D417" s="6">
        <v>32</v>
      </c>
      <c r="E417" s="6" t="s">
        <v>38</v>
      </c>
      <c r="F417" s="6" t="s">
        <v>60</v>
      </c>
      <c r="G417" s="6" t="s">
        <v>69</v>
      </c>
      <c r="H417" s="6" t="s">
        <v>25</v>
      </c>
      <c r="I417" s="6">
        <v>7</v>
      </c>
      <c r="J417" s="6">
        <v>63398</v>
      </c>
      <c r="K417" s="6" t="s">
        <v>45</v>
      </c>
      <c r="L417" s="6">
        <v>4</v>
      </c>
      <c r="M417" s="6">
        <v>25</v>
      </c>
      <c r="N417" s="6">
        <v>4</v>
      </c>
      <c r="O417" s="6" t="s">
        <v>28</v>
      </c>
      <c r="P417" s="6" t="s">
        <v>27</v>
      </c>
      <c r="Q417" s="6">
        <v>4</v>
      </c>
      <c r="R417" s="6" t="s">
        <v>27</v>
      </c>
      <c r="S417" s="6" t="s">
        <v>28</v>
      </c>
    </row>
    <row r="418" spans="1:19" x14ac:dyDescent="0.35">
      <c r="A418" s="7" t="s">
        <v>898</v>
      </c>
      <c r="B418" s="5" t="s">
        <v>899</v>
      </c>
      <c r="C418" s="5" t="s">
        <v>31</v>
      </c>
      <c r="D418" s="5">
        <v>45</v>
      </c>
      <c r="E418" s="5" t="s">
        <v>55</v>
      </c>
      <c r="F418" s="5" t="s">
        <v>23</v>
      </c>
      <c r="G418" s="5" t="s">
        <v>24</v>
      </c>
      <c r="H418" s="5" t="s">
        <v>70</v>
      </c>
      <c r="I418" s="5">
        <v>18</v>
      </c>
      <c r="J418" s="5">
        <v>79371</v>
      </c>
      <c r="K418" s="5" t="s">
        <v>40</v>
      </c>
      <c r="L418" s="5">
        <v>8</v>
      </c>
      <c r="M418" s="5">
        <v>36</v>
      </c>
      <c r="N418" s="5">
        <v>7</v>
      </c>
      <c r="O418" s="5" t="s">
        <v>28</v>
      </c>
      <c r="P418" s="5" t="s">
        <v>27</v>
      </c>
      <c r="Q418" s="5">
        <v>5</v>
      </c>
      <c r="R418" s="5" t="s">
        <v>27</v>
      </c>
      <c r="S418" s="5" t="s">
        <v>27</v>
      </c>
    </row>
    <row r="419" spans="1:19" x14ac:dyDescent="0.35">
      <c r="A419" s="8" t="s">
        <v>900</v>
      </c>
      <c r="B419" s="6" t="s">
        <v>901</v>
      </c>
      <c r="C419" s="6" t="s">
        <v>21</v>
      </c>
      <c r="D419" s="6">
        <v>51</v>
      </c>
      <c r="E419" s="6" t="s">
        <v>55</v>
      </c>
      <c r="F419" s="6" t="s">
        <v>43</v>
      </c>
      <c r="G419" s="6" t="s">
        <v>69</v>
      </c>
      <c r="H419" s="6" t="s">
        <v>25</v>
      </c>
      <c r="I419" s="6">
        <v>13</v>
      </c>
      <c r="J419" s="6">
        <v>82000</v>
      </c>
      <c r="K419" s="6" t="s">
        <v>45</v>
      </c>
      <c r="L419" s="6">
        <v>5</v>
      </c>
      <c r="M419" s="6">
        <v>23</v>
      </c>
      <c r="N419" s="6">
        <v>4</v>
      </c>
      <c r="O419" s="6" t="s">
        <v>28</v>
      </c>
      <c r="P419" s="6" t="s">
        <v>27</v>
      </c>
      <c r="Q419" s="6">
        <v>3</v>
      </c>
      <c r="R419" s="6" t="s">
        <v>27</v>
      </c>
      <c r="S419" s="6" t="s">
        <v>27</v>
      </c>
    </row>
    <row r="420" spans="1:19" x14ac:dyDescent="0.35">
      <c r="A420" s="7" t="s">
        <v>902</v>
      </c>
      <c r="B420" s="5" t="s">
        <v>903</v>
      </c>
      <c r="C420" s="5" t="s">
        <v>31</v>
      </c>
      <c r="D420" s="5">
        <v>55</v>
      </c>
      <c r="E420" s="5" t="s">
        <v>55</v>
      </c>
      <c r="F420" s="5" t="s">
        <v>60</v>
      </c>
      <c r="G420" s="5" t="s">
        <v>69</v>
      </c>
      <c r="H420" s="5" t="s">
        <v>131</v>
      </c>
      <c r="I420" s="5">
        <v>19</v>
      </c>
      <c r="J420" s="5">
        <v>70224</v>
      </c>
      <c r="K420" s="5" t="s">
        <v>26</v>
      </c>
      <c r="L420" s="5">
        <v>8</v>
      </c>
      <c r="M420" s="5">
        <v>46</v>
      </c>
      <c r="N420" s="5">
        <v>3</v>
      </c>
      <c r="O420" s="5" t="s">
        <v>28</v>
      </c>
      <c r="P420" s="5" t="s">
        <v>28</v>
      </c>
      <c r="Q420" s="5">
        <v>1</v>
      </c>
      <c r="R420" s="5" t="s">
        <v>27</v>
      </c>
      <c r="S420" s="5" t="s">
        <v>27</v>
      </c>
    </row>
    <row r="421" spans="1:19" x14ac:dyDescent="0.35">
      <c r="A421" s="8" t="s">
        <v>904</v>
      </c>
      <c r="B421" s="6" t="s">
        <v>905</v>
      </c>
      <c r="C421" s="6" t="s">
        <v>21</v>
      </c>
      <c r="D421" s="6">
        <v>54</v>
      </c>
      <c r="E421" s="6" t="s">
        <v>38</v>
      </c>
      <c r="F421" s="6" t="s">
        <v>33</v>
      </c>
      <c r="G421" s="6" t="s">
        <v>24</v>
      </c>
      <c r="H421" s="6" t="s">
        <v>131</v>
      </c>
      <c r="I421" s="6">
        <v>27</v>
      </c>
      <c r="J421" s="6">
        <v>69122</v>
      </c>
      <c r="K421" s="6" t="s">
        <v>35</v>
      </c>
      <c r="L421" s="6">
        <v>7</v>
      </c>
      <c r="M421" s="6">
        <v>21</v>
      </c>
      <c r="N421" s="6">
        <v>6</v>
      </c>
      <c r="O421" s="6" t="s">
        <v>27</v>
      </c>
      <c r="P421" s="6" t="s">
        <v>28</v>
      </c>
      <c r="Q421" s="6">
        <v>5</v>
      </c>
      <c r="R421" s="6" t="s">
        <v>27</v>
      </c>
      <c r="S421" s="6" t="s">
        <v>27</v>
      </c>
    </row>
    <row r="422" spans="1:19" x14ac:dyDescent="0.35">
      <c r="A422" s="7" t="s">
        <v>906</v>
      </c>
      <c r="B422" s="5" t="s">
        <v>907</v>
      </c>
      <c r="C422" s="5" t="s">
        <v>31</v>
      </c>
      <c r="D422" s="5">
        <v>43</v>
      </c>
      <c r="E422" s="5" t="s">
        <v>55</v>
      </c>
      <c r="F422" s="5" t="s">
        <v>23</v>
      </c>
      <c r="G422" s="5" t="s">
        <v>24</v>
      </c>
      <c r="H422" s="5" t="s">
        <v>49</v>
      </c>
      <c r="I422" s="5">
        <v>16</v>
      </c>
      <c r="J422" s="5">
        <v>78799</v>
      </c>
      <c r="K422" s="5" t="s">
        <v>26</v>
      </c>
      <c r="L422" s="5">
        <v>5</v>
      </c>
      <c r="M422" s="5">
        <v>29</v>
      </c>
      <c r="N422" s="5">
        <v>1</v>
      </c>
      <c r="O422" s="5" t="s">
        <v>28</v>
      </c>
      <c r="P422" s="5" t="s">
        <v>27</v>
      </c>
      <c r="Q422" s="5">
        <v>5</v>
      </c>
      <c r="R422" s="5" t="s">
        <v>27</v>
      </c>
      <c r="S422" s="5" t="s">
        <v>27</v>
      </c>
    </row>
    <row r="423" spans="1:19" x14ac:dyDescent="0.35">
      <c r="A423" s="8" t="s">
        <v>908</v>
      </c>
      <c r="B423" s="6" t="s">
        <v>909</v>
      </c>
      <c r="C423" s="6" t="s">
        <v>21</v>
      </c>
      <c r="D423" s="6">
        <v>30</v>
      </c>
      <c r="E423" s="6" t="s">
        <v>55</v>
      </c>
      <c r="F423" s="6" t="s">
        <v>43</v>
      </c>
      <c r="G423" s="6" t="s">
        <v>24</v>
      </c>
      <c r="H423" s="6" t="s">
        <v>61</v>
      </c>
      <c r="I423" s="6">
        <v>7</v>
      </c>
      <c r="J423" s="6">
        <v>81797</v>
      </c>
      <c r="K423" s="6" t="s">
        <v>45</v>
      </c>
      <c r="L423" s="6">
        <v>10</v>
      </c>
      <c r="M423" s="6">
        <v>50</v>
      </c>
      <c r="N423" s="6">
        <v>2</v>
      </c>
      <c r="O423" s="6" t="s">
        <v>27</v>
      </c>
      <c r="P423" s="6" t="s">
        <v>27</v>
      </c>
      <c r="Q423" s="6">
        <v>2</v>
      </c>
      <c r="R423" s="6" t="s">
        <v>27</v>
      </c>
      <c r="S423" s="6" t="s">
        <v>27</v>
      </c>
    </row>
    <row r="424" spans="1:19" x14ac:dyDescent="0.35">
      <c r="A424" s="7" t="s">
        <v>910</v>
      </c>
      <c r="B424" s="5" t="s">
        <v>911</v>
      </c>
      <c r="C424" s="5" t="s">
        <v>21</v>
      </c>
      <c r="D424" s="5">
        <v>37</v>
      </c>
      <c r="E424" s="5" t="s">
        <v>38</v>
      </c>
      <c r="F424" s="5" t="s">
        <v>60</v>
      </c>
      <c r="G424" s="5" t="s">
        <v>69</v>
      </c>
      <c r="H424" s="5" t="s">
        <v>131</v>
      </c>
      <c r="I424" s="5">
        <v>13</v>
      </c>
      <c r="J424" s="5">
        <v>60000</v>
      </c>
      <c r="K424" s="5" t="s">
        <v>45</v>
      </c>
      <c r="L424" s="5">
        <v>5</v>
      </c>
      <c r="M424" s="5">
        <v>16</v>
      </c>
      <c r="N424" s="5">
        <v>3</v>
      </c>
      <c r="O424" s="5" t="s">
        <v>27</v>
      </c>
      <c r="P424" s="5" t="s">
        <v>27</v>
      </c>
      <c r="Q424" s="5">
        <v>3</v>
      </c>
      <c r="R424" s="5" t="s">
        <v>27</v>
      </c>
      <c r="S424" s="5" t="s">
        <v>27</v>
      </c>
    </row>
    <row r="425" spans="1:19" x14ac:dyDescent="0.35">
      <c r="A425" s="8" t="s">
        <v>912</v>
      </c>
      <c r="B425" s="6" t="s">
        <v>913</v>
      </c>
      <c r="C425" s="6" t="s">
        <v>31</v>
      </c>
      <c r="D425" s="6">
        <v>31</v>
      </c>
      <c r="E425" s="6" t="s">
        <v>55</v>
      </c>
      <c r="F425" s="6" t="s">
        <v>48</v>
      </c>
      <c r="G425" s="6" t="s">
        <v>24</v>
      </c>
      <c r="H425" s="6" t="s">
        <v>34</v>
      </c>
      <c r="I425" s="6">
        <v>8</v>
      </c>
      <c r="J425" s="6">
        <v>43195</v>
      </c>
      <c r="K425" s="6" t="s">
        <v>45</v>
      </c>
      <c r="L425" s="6">
        <v>4</v>
      </c>
      <c r="M425" s="6">
        <v>46</v>
      </c>
      <c r="N425" s="6">
        <v>3</v>
      </c>
      <c r="O425" s="6" t="s">
        <v>28</v>
      </c>
      <c r="P425" s="6" t="s">
        <v>28</v>
      </c>
      <c r="Q425" s="6">
        <v>5</v>
      </c>
      <c r="R425" s="6" t="s">
        <v>27</v>
      </c>
      <c r="S425" s="6" t="s">
        <v>27</v>
      </c>
    </row>
    <row r="426" spans="1:19" x14ac:dyDescent="0.35">
      <c r="A426" s="7" t="s">
        <v>914</v>
      </c>
      <c r="B426" s="5" t="s">
        <v>915</v>
      </c>
      <c r="C426" s="5" t="s">
        <v>21</v>
      </c>
      <c r="D426" s="5">
        <v>25</v>
      </c>
      <c r="E426" s="5" t="s">
        <v>55</v>
      </c>
      <c r="F426" s="5" t="s">
        <v>64</v>
      </c>
      <c r="G426" s="5" t="s">
        <v>24</v>
      </c>
      <c r="H426" s="5" t="s">
        <v>61</v>
      </c>
      <c r="I426" s="5">
        <v>3</v>
      </c>
      <c r="J426" s="5">
        <v>66306</v>
      </c>
      <c r="K426" s="5" t="s">
        <v>45</v>
      </c>
      <c r="L426" s="5">
        <v>7</v>
      </c>
      <c r="M426" s="5">
        <v>10</v>
      </c>
      <c r="N426" s="5">
        <v>4</v>
      </c>
      <c r="O426" s="5" t="s">
        <v>27</v>
      </c>
      <c r="P426" s="5" t="s">
        <v>28</v>
      </c>
      <c r="Q426" s="5">
        <v>3</v>
      </c>
      <c r="R426" s="5" t="s">
        <v>27</v>
      </c>
      <c r="S426" s="5" t="s">
        <v>27</v>
      </c>
    </row>
    <row r="427" spans="1:19" x14ac:dyDescent="0.35">
      <c r="A427" s="8" t="s">
        <v>916</v>
      </c>
      <c r="B427" s="6" t="s">
        <v>917</v>
      </c>
      <c r="C427" s="6" t="s">
        <v>31</v>
      </c>
      <c r="D427" s="6">
        <v>55</v>
      </c>
      <c r="E427" s="6" t="s">
        <v>38</v>
      </c>
      <c r="F427" s="6" t="s">
        <v>64</v>
      </c>
      <c r="G427" s="6" t="s">
        <v>24</v>
      </c>
      <c r="H427" s="6" t="s">
        <v>131</v>
      </c>
      <c r="I427" s="6">
        <v>12</v>
      </c>
      <c r="J427" s="6">
        <v>58240</v>
      </c>
      <c r="K427" s="6" t="s">
        <v>26</v>
      </c>
      <c r="L427" s="6">
        <v>8</v>
      </c>
      <c r="M427" s="6">
        <v>19</v>
      </c>
      <c r="N427" s="6">
        <v>4</v>
      </c>
      <c r="O427" s="6" t="s">
        <v>28</v>
      </c>
      <c r="P427" s="6" t="s">
        <v>27</v>
      </c>
      <c r="Q427" s="6">
        <v>3</v>
      </c>
      <c r="R427" s="6" t="s">
        <v>28</v>
      </c>
      <c r="S427" s="6" t="s">
        <v>27</v>
      </c>
    </row>
    <row r="428" spans="1:19" x14ac:dyDescent="0.35">
      <c r="A428" s="7" t="s">
        <v>918</v>
      </c>
      <c r="B428" s="5" t="s">
        <v>919</v>
      </c>
      <c r="C428" s="5" t="s">
        <v>31</v>
      </c>
      <c r="D428" s="5">
        <v>33</v>
      </c>
      <c r="E428" s="5" t="s">
        <v>32</v>
      </c>
      <c r="F428" s="5" t="s">
        <v>43</v>
      </c>
      <c r="G428" s="5" t="s">
        <v>24</v>
      </c>
      <c r="H428" s="5" t="s">
        <v>131</v>
      </c>
      <c r="I428" s="5">
        <v>9</v>
      </c>
      <c r="J428" s="5">
        <v>69929</v>
      </c>
      <c r="K428" s="5" t="s">
        <v>45</v>
      </c>
      <c r="L428" s="5">
        <v>9</v>
      </c>
      <c r="M428" s="5">
        <v>28</v>
      </c>
      <c r="N428" s="5">
        <v>3</v>
      </c>
      <c r="O428" s="5" t="s">
        <v>27</v>
      </c>
      <c r="P428" s="5" t="s">
        <v>28</v>
      </c>
      <c r="Q428" s="5">
        <v>5</v>
      </c>
      <c r="R428" s="5" t="s">
        <v>28</v>
      </c>
      <c r="S428" s="5" t="s">
        <v>27</v>
      </c>
    </row>
    <row r="429" spans="1:19" x14ac:dyDescent="0.35">
      <c r="A429" s="8" t="s">
        <v>920</v>
      </c>
      <c r="B429" s="6" t="s">
        <v>921</v>
      </c>
      <c r="C429" s="6" t="s">
        <v>31</v>
      </c>
      <c r="D429" s="6">
        <v>29</v>
      </c>
      <c r="E429" s="6" t="s">
        <v>38</v>
      </c>
      <c r="F429" s="6" t="s">
        <v>23</v>
      </c>
      <c r="G429" s="6" t="s">
        <v>24</v>
      </c>
      <c r="H429" s="6" t="s">
        <v>70</v>
      </c>
      <c r="I429" s="6">
        <v>6</v>
      </c>
      <c r="J429" s="6">
        <v>72115</v>
      </c>
      <c r="K429" s="6" t="s">
        <v>35</v>
      </c>
      <c r="L429" s="6">
        <v>5</v>
      </c>
      <c r="M429" s="6">
        <v>46</v>
      </c>
      <c r="N429" s="6">
        <v>6</v>
      </c>
      <c r="O429" s="6" t="s">
        <v>27</v>
      </c>
      <c r="P429" s="6" t="s">
        <v>28</v>
      </c>
      <c r="Q429" s="6">
        <v>5</v>
      </c>
      <c r="R429" s="6" t="s">
        <v>27</v>
      </c>
      <c r="S429" s="6" t="s">
        <v>27</v>
      </c>
    </row>
    <row r="430" spans="1:19" x14ac:dyDescent="0.35">
      <c r="A430" s="7" t="s">
        <v>922</v>
      </c>
      <c r="B430" s="5" t="s">
        <v>923</v>
      </c>
      <c r="C430" s="5" t="s">
        <v>21</v>
      </c>
      <c r="D430" s="5">
        <v>30</v>
      </c>
      <c r="E430" s="5" t="s">
        <v>55</v>
      </c>
      <c r="F430" s="5" t="s">
        <v>43</v>
      </c>
      <c r="G430" s="5" t="s">
        <v>69</v>
      </c>
      <c r="H430" s="5" t="s">
        <v>25</v>
      </c>
      <c r="I430" s="5">
        <v>4</v>
      </c>
      <c r="J430" s="5">
        <v>57314</v>
      </c>
      <c r="K430" s="5" t="s">
        <v>26</v>
      </c>
      <c r="L430" s="5">
        <v>2</v>
      </c>
      <c r="M430" s="5">
        <v>24</v>
      </c>
      <c r="N430" s="5">
        <v>5</v>
      </c>
      <c r="O430" s="5" t="s">
        <v>27</v>
      </c>
      <c r="P430" s="5" t="s">
        <v>28</v>
      </c>
      <c r="Q430" s="5">
        <v>1</v>
      </c>
      <c r="R430" s="5" t="s">
        <v>28</v>
      </c>
      <c r="S430" s="5" t="s">
        <v>28</v>
      </c>
    </row>
    <row r="431" spans="1:19" x14ac:dyDescent="0.35">
      <c r="A431" s="8" t="s">
        <v>924</v>
      </c>
      <c r="B431" s="6" t="s">
        <v>925</v>
      </c>
      <c r="C431" s="6" t="s">
        <v>21</v>
      </c>
      <c r="D431" s="6">
        <v>55</v>
      </c>
      <c r="E431" s="6" t="s">
        <v>38</v>
      </c>
      <c r="F431" s="6" t="s">
        <v>48</v>
      </c>
      <c r="G431" s="6" t="s">
        <v>24</v>
      </c>
      <c r="H431" s="6" t="s">
        <v>25</v>
      </c>
      <c r="I431" s="6">
        <v>17</v>
      </c>
      <c r="J431" s="6">
        <v>54638</v>
      </c>
      <c r="K431" s="6" t="s">
        <v>45</v>
      </c>
      <c r="L431" s="6">
        <v>1</v>
      </c>
      <c r="M431" s="6">
        <v>14</v>
      </c>
      <c r="N431" s="6">
        <v>1</v>
      </c>
      <c r="O431" s="6" t="s">
        <v>28</v>
      </c>
      <c r="P431" s="6" t="s">
        <v>27</v>
      </c>
      <c r="Q431" s="6">
        <v>1</v>
      </c>
      <c r="R431" s="6" t="s">
        <v>28</v>
      </c>
      <c r="S431" s="6" t="s">
        <v>27</v>
      </c>
    </row>
    <row r="432" spans="1:19" x14ac:dyDescent="0.35">
      <c r="A432" s="7" t="s">
        <v>926</v>
      </c>
      <c r="B432" s="5" t="s">
        <v>927</v>
      </c>
      <c r="C432" s="5" t="s">
        <v>31</v>
      </c>
      <c r="D432" s="5">
        <v>22</v>
      </c>
      <c r="E432" s="5" t="s">
        <v>55</v>
      </c>
      <c r="F432" s="5" t="s">
        <v>64</v>
      </c>
      <c r="G432" s="5" t="s">
        <v>24</v>
      </c>
      <c r="H432" s="5" t="s">
        <v>34</v>
      </c>
      <c r="I432" s="5">
        <v>0</v>
      </c>
      <c r="J432" s="5">
        <v>63752</v>
      </c>
      <c r="K432" s="5" t="s">
        <v>26</v>
      </c>
      <c r="L432" s="5">
        <v>10</v>
      </c>
      <c r="M432" s="5">
        <v>44</v>
      </c>
      <c r="N432" s="5">
        <v>0</v>
      </c>
      <c r="O432" s="5" t="s">
        <v>27</v>
      </c>
      <c r="P432" s="5" t="s">
        <v>28</v>
      </c>
      <c r="Q432" s="5">
        <v>1</v>
      </c>
      <c r="R432" s="5" t="s">
        <v>27</v>
      </c>
      <c r="S432" s="5" t="s">
        <v>27</v>
      </c>
    </row>
    <row r="433" spans="1:19" x14ac:dyDescent="0.35">
      <c r="A433" s="8" t="s">
        <v>928</v>
      </c>
      <c r="B433" s="6" t="s">
        <v>929</v>
      </c>
      <c r="C433" s="6" t="s">
        <v>31</v>
      </c>
      <c r="D433" s="6">
        <v>32</v>
      </c>
      <c r="E433" s="6" t="s">
        <v>38</v>
      </c>
      <c r="F433" s="6" t="s">
        <v>33</v>
      </c>
      <c r="G433" s="6" t="s">
        <v>24</v>
      </c>
      <c r="H433" s="6" t="s">
        <v>34</v>
      </c>
      <c r="I433" s="6">
        <v>4</v>
      </c>
      <c r="J433" s="6">
        <v>60621</v>
      </c>
      <c r="K433" s="6" t="s">
        <v>35</v>
      </c>
      <c r="L433" s="6">
        <v>7</v>
      </c>
      <c r="M433" s="6">
        <v>25</v>
      </c>
      <c r="N433" s="6">
        <v>4</v>
      </c>
      <c r="O433" s="6" t="s">
        <v>27</v>
      </c>
      <c r="P433" s="6" t="s">
        <v>28</v>
      </c>
      <c r="Q433" s="6">
        <v>2</v>
      </c>
      <c r="R433" s="6" t="s">
        <v>27</v>
      </c>
      <c r="S433" s="6" t="s">
        <v>27</v>
      </c>
    </row>
    <row r="434" spans="1:19" x14ac:dyDescent="0.35">
      <c r="A434" s="7" t="s">
        <v>930</v>
      </c>
      <c r="B434" s="5" t="s">
        <v>931</v>
      </c>
      <c r="C434" s="5" t="s">
        <v>31</v>
      </c>
      <c r="D434" s="5">
        <v>28</v>
      </c>
      <c r="E434" s="5" t="s">
        <v>22</v>
      </c>
      <c r="F434" s="5" t="s">
        <v>33</v>
      </c>
      <c r="G434" s="5" t="s">
        <v>24</v>
      </c>
      <c r="H434" s="5" t="s">
        <v>52</v>
      </c>
      <c r="I434" s="5">
        <v>4</v>
      </c>
      <c r="J434" s="5">
        <v>57588</v>
      </c>
      <c r="K434" s="5" t="s">
        <v>26</v>
      </c>
      <c r="L434" s="5">
        <v>10</v>
      </c>
      <c r="M434" s="5">
        <v>54</v>
      </c>
      <c r="N434" s="5">
        <v>3</v>
      </c>
      <c r="O434" s="5" t="s">
        <v>28</v>
      </c>
      <c r="P434" s="5" t="s">
        <v>28</v>
      </c>
      <c r="Q434" s="5">
        <v>1</v>
      </c>
      <c r="R434" s="5" t="s">
        <v>27</v>
      </c>
      <c r="S434" s="5" t="s">
        <v>27</v>
      </c>
    </row>
    <row r="435" spans="1:19" x14ac:dyDescent="0.35">
      <c r="A435" s="8" t="s">
        <v>932</v>
      </c>
      <c r="B435" s="6" t="s">
        <v>933</v>
      </c>
      <c r="C435" s="6" t="s">
        <v>21</v>
      </c>
      <c r="D435" s="6">
        <v>23</v>
      </c>
      <c r="E435" s="6" t="s">
        <v>55</v>
      </c>
      <c r="F435" s="6" t="s">
        <v>33</v>
      </c>
      <c r="G435" s="6" t="s">
        <v>24</v>
      </c>
      <c r="H435" s="6" t="s">
        <v>131</v>
      </c>
      <c r="I435" s="6">
        <v>2</v>
      </c>
      <c r="J435" s="6">
        <v>62394</v>
      </c>
      <c r="K435" s="6" t="s">
        <v>40</v>
      </c>
      <c r="L435" s="6">
        <v>10</v>
      </c>
      <c r="M435" s="6">
        <v>44</v>
      </c>
      <c r="N435" s="6">
        <v>2</v>
      </c>
      <c r="O435" s="6" t="s">
        <v>27</v>
      </c>
      <c r="P435" s="6" t="s">
        <v>27</v>
      </c>
      <c r="Q435" s="6">
        <v>3</v>
      </c>
      <c r="R435" s="6" t="s">
        <v>27</v>
      </c>
      <c r="S435" s="6" t="s">
        <v>27</v>
      </c>
    </row>
    <row r="436" spans="1:19" x14ac:dyDescent="0.35">
      <c r="A436" s="7" t="s">
        <v>934</v>
      </c>
      <c r="B436" s="5" t="s">
        <v>935</v>
      </c>
      <c r="C436" s="5" t="s">
        <v>31</v>
      </c>
      <c r="D436" s="5">
        <v>26</v>
      </c>
      <c r="E436" s="5" t="s">
        <v>55</v>
      </c>
      <c r="F436" s="5" t="s">
        <v>23</v>
      </c>
      <c r="G436" s="5" t="s">
        <v>24</v>
      </c>
      <c r="H436" s="5" t="s">
        <v>52</v>
      </c>
      <c r="I436" s="5">
        <v>2</v>
      </c>
      <c r="J436" s="5">
        <v>61445</v>
      </c>
      <c r="K436" s="5" t="s">
        <v>35</v>
      </c>
      <c r="L436" s="5">
        <v>3</v>
      </c>
      <c r="M436" s="5">
        <v>0</v>
      </c>
      <c r="N436" s="5">
        <v>3</v>
      </c>
      <c r="O436" s="5" t="s">
        <v>27</v>
      </c>
      <c r="P436" s="5" t="s">
        <v>28</v>
      </c>
      <c r="Q436" s="5">
        <v>4</v>
      </c>
      <c r="R436" s="5" t="s">
        <v>27</v>
      </c>
      <c r="S436" s="5" t="s">
        <v>27</v>
      </c>
    </row>
    <row r="437" spans="1:19" x14ac:dyDescent="0.35">
      <c r="A437" s="8" t="s">
        <v>936</v>
      </c>
      <c r="B437" s="6" t="s">
        <v>937</v>
      </c>
      <c r="C437" s="6" t="s">
        <v>21</v>
      </c>
      <c r="D437" s="6">
        <v>30</v>
      </c>
      <c r="E437" s="6" t="s">
        <v>38</v>
      </c>
      <c r="F437" s="6" t="s">
        <v>48</v>
      </c>
      <c r="G437" s="6" t="s">
        <v>24</v>
      </c>
      <c r="H437" s="6" t="s">
        <v>52</v>
      </c>
      <c r="I437" s="6">
        <v>7</v>
      </c>
      <c r="J437" s="6">
        <v>50978</v>
      </c>
      <c r="K437" s="6" t="s">
        <v>45</v>
      </c>
      <c r="L437" s="6">
        <v>5</v>
      </c>
      <c r="M437" s="6">
        <v>31</v>
      </c>
      <c r="N437" s="6">
        <v>5</v>
      </c>
      <c r="O437" s="6" t="s">
        <v>27</v>
      </c>
      <c r="P437" s="6" t="s">
        <v>28</v>
      </c>
      <c r="Q437" s="6">
        <v>1</v>
      </c>
      <c r="R437" s="6" t="s">
        <v>27</v>
      </c>
      <c r="S437" s="6" t="s">
        <v>27</v>
      </c>
    </row>
    <row r="438" spans="1:19" x14ac:dyDescent="0.35">
      <c r="A438" s="7" t="s">
        <v>938</v>
      </c>
      <c r="B438" s="5" t="s">
        <v>939</v>
      </c>
      <c r="C438" s="5" t="s">
        <v>31</v>
      </c>
      <c r="D438" s="5">
        <v>36</v>
      </c>
      <c r="E438" s="5" t="s">
        <v>55</v>
      </c>
      <c r="F438" s="5" t="s">
        <v>23</v>
      </c>
      <c r="G438" s="5" t="s">
        <v>44</v>
      </c>
      <c r="H438" s="5" t="s">
        <v>25</v>
      </c>
      <c r="I438" s="5">
        <v>10</v>
      </c>
      <c r="J438" s="5">
        <v>71490</v>
      </c>
      <c r="K438" s="5" t="s">
        <v>35</v>
      </c>
      <c r="L438" s="5">
        <v>5</v>
      </c>
      <c r="M438" s="5">
        <v>31</v>
      </c>
      <c r="N438" s="5">
        <v>1</v>
      </c>
      <c r="O438" s="5" t="s">
        <v>27</v>
      </c>
      <c r="P438" s="5" t="s">
        <v>27</v>
      </c>
      <c r="Q438" s="5">
        <v>4</v>
      </c>
      <c r="R438" s="5" t="s">
        <v>28</v>
      </c>
      <c r="S438" s="5" t="s">
        <v>27</v>
      </c>
    </row>
    <row r="439" spans="1:19" x14ac:dyDescent="0.35">
      <c r="A439" s="8" t="s">
        <v>940</v>
      </c>
      <c r="B439" s="6" t="s">
        <v>941</v>
      </c>
      <c r="C439" s="6" t="s">
        <v>31</v>
      </c>
      <c r="D439" s="6">
        <v>21</v>
      </c>
      <c r="E439" s="6" t="s">
        <v>38</v>
      </c>
      <c r="F439" s="6" t="s">
        <v>64</v>
      </c>
      <c r="G439" s="6" t="s">
        <v>24</v>
      </c>
      <c r="H439" s="6" t="s">
        <v>49</v>
      </c>
      <c r="I439" s="6">
        <v>0</v>
      </c>
      <c r="J439" s="6">
        <v>55261</v>
      </c>
      <c r="K439" s="6" t="s">
        <v>26</v>
      </c>
      <c r="L439" s="6">
        <v>6</v>
      </c>
      <c r="M439" s="6">
        <v>31</v>
      </c>
      <c r="N439" s="6">
        <v>6</v>
      </c>
      <c r="O439" s="6" t="s">
        <v>27</v>
      </c>
      <c r="P439" s="6" t="s">
        <v>28</v>
      </c>
      <c r="Q439" s="6">
        <v>2</v>
      </c>
      <c r="R439" s="6" t="s">
        <v>27</v>
      </c>
      <c r="S439" s="6" t="s">
        <v>27</v>
      </c>
    </row>
    <row r="440" spans="1:19" x14ac:dyDescent="0.35">
      <c r="A440" s="7" t="s">
        <v>942</v>
      </c>
      <c r="B440" s="5" t="s">
        <v>943</v>
      </c>
      <c r="C440" s="5" t="s">
        <v>21</v>
      </c>
      <c r="D440" s="5">
        <v>28</v>
      </c>
      <c r="E440" s="5" t="s">
        <v>55</v>
      </c>
      <c r="F440" s="5" t="s">
        <v>48</v>
      </c>
      <c r="G440" s="5" t="s">
        <v>44</v>
      </c>
      <c r="H440" s="5" t="s">
        <v>25</v>
      </c>
      <c r="I440" s="5">
        <v>4</v>
      </c>
      <c r="J440" s="5">
        <v>41391</v>
      </c>
      <c r="K440" s="5" t="s">
        <v>45</v>
      </c>
      <c r="L440" s="5">
        <v>4</v>
      </c>
      <c r="M440" s="5">
        <v>38</v>
      </c>
      <c r="N440" s="5">
        <v>6</v>
      </c>
      <c r="O440" s="5" t="s">
        <v>27</v>
      </c>
      <c r="P440" s="5" t="s">
        <v>28</v>
      </c>
      <c r="Q440" s="5">
        <v>2</v>
      </c>
      <c r="R440" s="5" t="s">
        <v>27</v>
      </c>
      <c r="S440" s="5" t="s">
        <v>27</v>
      </c>
    </row>
    <row r="441" spans="1:19" x14ac:dyDescent="0.35">
      <c r="A441" s="8" t="s">
        <v>944</v>
      </c>
      <c r="B441" s="6" t="s">
        <v>945</v>
      </c>
      <c r="C441" s="6" t="s">
        <v>21</v>
      </c>
      <c r="D441" s="6">
        <v>32</v>
      </c>
      <c r="E441" s="6" t="s">
        <v>55</v>
      </c>
      <c r="F441" s="6" t="s">
        <v>33</v>
      </c>
      <c r="G441" s="6" t="s">
        <v>24</v>
      </c>
      <c r="H441" s="6" t="s">
        <v>131</v>
      </c>
      <c r="I441" s="6">
        <v>9</v>
      </c>
      <c r="J441" s="6">
        <v>56153</v>
      </c>
      <c r="K441" s="6" t="s">
        <v>45</v>
      </c>
      <c r="L441" s="6">
        <v>6</v>
      </c>
      <c r="M441" s="6">
        <v>25</v>
      </c>
      <c r="N441" s="6">
        <v>5</v>
      </c>
      <c r="O441" s="6" t="s">
        <v>27</v>
      </c>
      <c r="P441" s="6" t="s">
        <v>27</v>
      </c>
      <c r="Q441" s="6">
        <v>4</v>
      </c>
      <c r="R441" s="6" t="s">
        <v>27</v>
      </c>
      <c r="S441" s="6" t="s">
        <v>27</v>
      </c>
    </row>
    <row r="442" spans="1:19" x14ac:dyDescent="0.35">
      <c r="A442" s="7" t="s">
        <v>946</v>
      </c>
      <c r="B442" s="5" t="s">
        <v>947</v>
      </c>
      <c r="C442" s="5" t="s">
        <v>21</v>
      </c>
      <c r="D442" s="5">
        <v>34</v>
      </c>
      <c r="E442" s="5" t="s">
        <v>38</v>
      </c>
      <c r="F442" s="5" t="s">
        <v>60</v>
      </c>
      <c r="G442" s="5" t="s">
        <v>24</v>
      </c>
      <c r="H442" s="5" t="s">
        <v>61</v>
      </c>
      <c r="I442" s="5">
        <v>5</v>
      </c>
      <c r="J442" s="5">
        <v>63857</v>
      </c>
      <c r="K442" s="5" t="s">
        <v>35</v>
      </c>
      <c r="L442" s="5">
        <v>4</v>
      </c>
      <c r="M442" s="5">
        <v>53</v>
      </c>
      <c r="N442" s="5">
        <v>3</v>
      </c>
      <c r="O442" s="5" t="s">
        <v>27</v>
      </c>
      <c r="P442" s="5" t="s">
        <v>28</v>
      </c>
      <c r="Q442" s="5">
        <v>5</v>
      </c>
      <c r="R442" s="5" t="s">
        <v>27</v>
      </c>
      <c r="S442" s="5" t="s">
        <v>27</v>
      </c>
    </row>
    <row r="443" spans="1:19" x14ac:dyDescent="0.35">
      <c r="A443" s="8" t="s">
        <v>948</v>
      </c>
      <c r="B443" s="6" t="s">
        <v>949</v>
      </c>
      <c r="C443" s="6" t="s">
        <v>31</v>
      </c>
      <c r="D443" s="6">
        <v>34</v>
      </c>
      <c r="E443" s="6" t="s">
        <v>38</v>
      </c>
      <c r="F443" s="6" t="s">
        <v>43</v>
      </c>
      <c r="G443" s="6" t="s">
        <v>24</v>
      </c>
      <c r="H443" s="6" t="s">
        <v>61</v>
      </c>
      <c r="I443" s="6">
        <v>7</v>
      </c>
      <c r="J443" s="6">
        <v>75412</v>
      </c>
      <c r="K443" s="6" t="s">
        <v>26</v>
      </c>
      <c r="L443" s="6">
        <v>10</v>
      </c>
      <c r="M443" s="6">
        <v>34</v>
      </c>
      <c r="N443" s="6">
        <v>5</v>
      </c>
      <c r="O443" s="6" t="s">
        <v>28</v>
      </c>
      <c r="P443" s="6" t="s">
        <v>28</v>
      </c>
      <c r="Q443" s="6">
        <v>1</v>
      </c>
      <c r="R443" s="6" t="s">
        <v>28</v>
      </c>
      <c r="S443" s="6" t="s">
        <v>27</v>
      </c>
    </row>
    <row r="444" spans="1:19" x14ac:dyDescent="0.35">
      <c r="A444" s="7" t="s">
        <v>950</v>
      </c>
      <c r="B444" s="5" t="s">
        <v>951</v>
      </c>
      <c r="C444" s="5" t="s">
        <v>31</v>
      </c>
      <c r="D444" s="5">
        <v>38</v>
      </c>
      <c r="E444" s="5" t="s">
        <v>38</v>
      </c>
      <c r="F444" s="5" t="s">
        <v>23</v>
      </c>
      <c r="G444" s="5" t="s">
        <v>24</v>
      </c>
      <c r="H444" s="5" t="s">
        <v>131</v>
      </c>
      <c r="I444" s="5">
        <v>10</v>
      </c>
      <c r="J444" s="5">
        <v>66016</v>
      </c>
      <c r="K444" s="5" t="s">
        <v>26</v>
      </c>
      <c r="L444" s="5">
        <v>8</v>
      </c>
      <c r="M444" s="5">
        <v>14</v>
      </c>
      <c r="N444" s="5">
        <v>2</v>
      </c>
      <c r="O444" s="5" t="s">
        <v>27</v>
      </c>
      <c r="P444" s="5" t="s">
        <v>28</v>
      </c>
      <c r="Q444" s="5">
        <v>5</v>
      </c>
      <c r="R444" s="5" t="s">
        <v>27</v>
      </c>
      <c r="S444" s="5" t="s">
        <v>27</v>
      </c>
    </row>
    <row r="445" spans="1:19" x14ac:dyDescent="0.35">
      <c r="A445" s="8" t="s">
        <v>952</v>
      </c>
      <c r="B445" s="6" t="s">
        <v>953</v>
      </c>
      <c r="C445" s="6" t="s">
        <v>31</v>
      </c>
      <c r="D445" s="6">
        <v>24</v>
      </c>
      <c r="E445" s="6" t="s">
        <v>55</v>
      </c>
      <c r="F445" s="6" t="s">
        <v>43</v>
      </c>
      <c r="G445" s="6" t="s">
        <v>24</v>
      </c>
      <c r="H445" s="6" t="s">
        <v>61</v>
      </c>
      <c r="I445" s="6">
        <v>2</v>
      </c>
      <c r="J445" s="6">
        <v>75981</v>
      </c>
      <c r="K445" s="6" t="s">
        <v>35</v>
      </c>
      <c r="L445" s="6">
        <v>4</v>
      </c>
      <c r="M445" s="6">
        <v>37</v>
      </c>
      <c r="N445" s="6">
        <v>4</v>
      </c>
      <c r="O445" s="6" t="s">
        <v>28</v>
      </c>
      <c r="P445" s="6" t="s">
        <v>27</v>
      </c>
      <c r="Q445" s="6">
        <v>2</v>
      </c>
      <c r="R445" s="6" t="s">
        <v>27</v>
      </c>
      <c r="S445" s="6" t="s">
        <v>28</v>
      </c>
    </row>
    <row r="446" spans="1:19" x14ac:dyDescent="0.35">
      <c r="A446" s="7" t="s">
        <v>954</v>
      </c>
      <c r="B446" s="5" t="s">
        <v>955</v>
      </c>
      <c r="C446" s="5" t="s">
        <v>21</v>
      </c>
      <c r="D446" s="5">
        <v>36</v>
      </c>
      <c r="E446" s="5" t="s">
        <v>55</v>
      </c>
      <c r="F446" s="5" t="s">
        <v>39</v>
      </c>
      <c r="G446" s="5" t="s">
        <v>24</v>
      </c>
      <c r="H446" s="5" t="s">
        <v>25</v>
      </c>
      <c r="I446" s="5">
        <v>10</v>
      </c>
      <c r="J446" s="5">
        <v>46631</v>
      </c>
      <c r="K446" s="5" t="s">
        <v>45</v>
      </c>
      <c r="L446" s="5">
        <v>6</v>
      </c>
      <c r="M446" s="5">
        <v>22</v>
      </c>
      <c r="N446" s="5">
        <v>3</v>
      </c>
      <c r="O446" s="5" t="s">
        <v>27</v>
      </c>
      <c r="P446" s="5" t="s">
        <v>28</v>
      </c>
      <c r="Q446" s="5">
        <v>3</v>
      </c>
      <c r="R446" s="5" t="s">
        <v>27</v>
      </c>
      <c r="S446" s="5" t="s">
        <v>27</v>
      </c>
    </row>
    <row r="447" spans="1:19" x14ac:dyDescent="0.35">
      <c r="A447" s="8" t="s">
        <v>956</v>
      </c>
      <c r="B447" s="6" t="s">
        <v>957</v>
      </c>
      <c r="C447" s="6" t="s">
        <v>21</v>
      </c>
      <c r="D447" s="6">
        <v>54</v>
      </c>
      <c r="E447" s="6" t="s">
        <v>38</v>
      </c>
      <c r="F447" s="6" t="s">
        <v>60</v>
      </c>
      <c r="G447" s="6" t="s">
        <v>24</v>
      </c>
      <c r="H447" s="6" t="s">
        <v>25</v>
      </c>
      <c r="I447" s="6">
        <v>26</v>
      </c>
      <c r="J447" s="6">
        <v>75027</v>
      </c>
      <c r="K447" s="6" t="s">
        <v>26</v>
      </c>
      <c r="L447" s="6">
        <v>6</v>
      </c>
      <c r="M447" s="6">
        <v>46</v>
      </c>
      <c r="N447" s="6">
        <v>4</v>
      </c>
      <c r="O447" s="6" t="s">
        <v>28</v>
      </c>
      <c r="P447" s="6" t="s">
        <v>28</v>
      </c>
      <c r="Q447" s="6">
        <v>3</v>
      </c>
      <c r="R447" s="6" t="s">
        <v>27</v>
      </c>
      <c r="S447" s="6" t="s">
        <v>27</v>
      </c>
    </row>
    <row r="448" spans="1:19" x14ac:dyDescent="0.35">
      <c r="A448" s="7" t="s">
        <v>958</v>
      </c>
      <c r="B448" s="5" t="s">
        <v>959</v>
      </c>
      <c r="C448" s="5" t="s">
        <v>31</v>
      </c>
      <c r="D448" s="5">
        <v>21</v>
      </c>
      <c r="E448" s="5" t="s">
        <v>55</v>
      </c>
      <c r="F448" s="5" t="s">
        <v>39</v>
      </c>
      <c r="G448" s="5" t="s">
        <v>24</v>
      </c>
      <c r="H448" s="5" t="s">
        <v>25</v>
      </c>
      <c r="I448" s="5">
        <v>0</v>
      </c>
      <c r="J448" s="5">
        <v>51354</v>
      </c>
      <c r="K448" s="5" t="s">
        <v>35</v>
      </c>
      <c r="L448" s="5">
        <v>4</v>
      </c>
      <c r="M448" s="5">
        <v>0</v>
      </c>
      <c r="N448" s="5">
        <v>1</v>
      </c>
      <c r="O448" s="5" t="s">
        <v>28</v>
      </c>
      <c r="P448" s="5" t="s">
        <v>28</v>
      </c>
      <c r="Q448" s="5">
        <v>4</v>
      </c>
      <c r="R448" s="5" t="s">
        <v>27</v>
      </c>
      <c r="S448" s="5" t="s">
        <v>28</v>
      </c>
    </row>
    <row r="449" spans="1:19" x14ac:dyDescent="0.35">
      <c r="A449" s="8" t="s">
        <v>960</v>
      </c>
      <c r="B449" s="6" t="s">
        <v>961</v>
      </c>
      <c r="C449" s="6" t="s">
        <v>31</v>
      </c>
      <c r="D449" s="6">
        <v>45</v>
      </c>
      <c r="E449" s="6" t="s">
        <v>55</v>
      </c>
      <c r="F449" s="6" t="s">
        <v>33</v>
      </c>
      <c r="G449" s="6" t="s">
        <v>24</v>
      </c>
      <c r="H449" s="6" t="s">
        <v>25</v>
      </c>
      <c r="I449" s="6">
        <v>10</v>
      </c>
      <c r="J449" s="6">
        <v>66616</v>
      </c>
      <c r="K449" s="6" t="s">
        <v>26</v>
      </c>
      <c r="L449" s="6">
        <v>9</v>
      </c>
      <c r="M449" s="6">
        <v>46</v>
      </c>
      <c r="N449" s="6">
        <v>3</v>
      </c>
      <c r="O449" s="6" t="s">
        <v>27</v>
      </c>
      <c r="P449" s="6" t="s">
        <v>28</v>
      </c>
      <c r="Q449" s="6">
        <v>3</v>
      </c>
      <c r="R449" s="6" t="s">
        <v>27</v>
      </c>
      <c r="S449" s="6" t="s">
        <v>27</v>
      </c>
    </row>
    <row r="450" spans="1:19" x14ac:dyDescent="0.35">
      <c r="A450" s="7" t="s">
        <v>962</v>
      </c>
      <c r="B450" s="5" t="s">
        <v>963</v>
      </c>
      <c r="C450" s="5" t="s">
        <v>21</v>
      </c>
      <c r="D450" s="5">
        <v>37</v>
      </c>
      <c r="E450" s="5" t="s">
        <v>38</v>
      </c>
      <c r="F450" s="5" t="s">
        <v>48</v>
      </c>
      <c r="G450" s="5" t="s">
        <v>44</v>
      </c>
      <c r="H450" s="5" t="s">
        <v>49</v>
      </c>
      <c r="I450" s="5">
        <v>6</v>
      </c>
      <c r="J450" s="5">
        <v>68882</v>
      </c>
      <c r="K450" s="5" t="s">
        <v>45</v>
      </c>
      <c r="L450" s="5">
        <v>7</v>
      </c>
      <c r="M450" s="5">
        <v>23</v>
      </c>
      <c r="N450" s="5">
        <v>4</v>
      </c>
      <c r="O450" s="5" t="s">
        <v>27</v>
      </c>
      <c r="P450" s="5" t="s">
        <v>28</v>
      </c>
      <c r="Q450" s="5">
        <v>4</v>
      </c>
      <c r="R450" s="5" t="s">
        <v>28</v>
      </c>
      <c r="S450" s="5" t="s">
        <v>27</v>
      </c>
    </row>
    <row r="451" spans="1:19" x14ac:dyDescent="0.35">
      <c r="A451" s="8" t="s">
        <v>964</v>
      </c>
      <c r="B451" s="6" t="s">
        <v>965</v>
      </c>
      <c r="C451" s="6" t="s">
        <v>21</v>
      </c>
      <c r="D451" s="6">
        <v>41</v>
      </c>
      <c r="E451" s="6" t="s">
        <v>55</v>
      </c>
      <c r="F451" s="6" t="s">
        <v>39</v>
      </c>
      <c r="G451" s="6" t="s">
        <v>24</v>
      </c>
      <c r="H451" s="6" t="s">
        <v>34</v>
      </c>
      <c r="I451" s="6">
        <v>9</v>
      </c>
      <c r="J451" s="6">
        <v>52427</v>
      </c>
      <c r="K451" s="6" t="s">
        <v>26</v>
      </c>
      <c r="L451" s="6">
        <v>1</v>
      </c>
      <c r="M451" s="6">
        <v>10</v>
      </c>
      <c r="N451" s="6">
        <v>4</v>
      </c>
      <c r="O451" s="6" t="s">
        <v>27</v>
      </c>
      <c r="P451" s="6" t="s">
        <v>27</v>
      </c>
      <c r="Q451" s="6">
        <v>5</v>
      </c>
      <c r="R451" s="6" t="s">
        <v>27</v>
      </c>
      <c r="S451" s="6" t="s">
        <v>27</v>
      </c>
    </row>
    <row r="452" spans="1:19" x14ac:dyDescent="0.35">
      <c r="A452" s="7" t="s">
        <v>966</v>
      </c>
      <c r="B452" s="5" t="s">
        <v>967</v>
      </c>
      <c r="C452" s="5" t="s">
        <v>21</v>
      </c>
      <c r="D452" s="5">
        <v>35</v>
      </c>
      <c r="E452" s="5" t="s">
        <v>55</v>
      </c>
      <c r="F452" s="5" t="s">
        <v>43</v>
      </c>
      <c r="G452" s="5" t="s">
        <v>24</v>
      </c>
      <c r="H452" s="5" t="s">
        <v>34</v>
      </c>
      <c r="I452" s="5">
        <v>9</v>
      </c>
      <c r="J452" s="5">
        <v>75166</v>
      </c>
      <c r="K452" s="5" t="s">
        <v>26</v>
      </c>
      <c r="L452" s="5">
        <v>3</v>
      </c>
      <c r="M452" s="5">
        <v>21</v>
      </c>
      <c r="N452" s="5">
        <v>5</v>
      </c>
      <c r="O452" s="5" t="s">
        <v>28</v>
      </c>
      <c r="P452" s="5" t="s">
        <v>28</v>
      </c>
      <c r="Q452" s="5">
        <v>1</v>
      </c>
      <c r="R452" s="5" t="s">
        <v>27</v>
      </c>
      <c r="S452" s="5" t="s">
        <v>27</v>
      </c>
    </row>
    <row r="453" spans="1:19" x14ac:dyDescent="0.35">
      <c r="A453" s="8" t="s">
        <v>968</v>
      </c>
      <c r="B453" s="6" t="s">
        <v>969</v>
      </c>
      <c r="C453" s="6" t="s">
        <v>21</v>
      </c>
      <c r="D453" s="6">
        <v>42</v>
      </c>
      <c r="E453" s="6" t="s">
        <v>32</v>
      </c>
      <c r="F453" s="6" t="s">
        <v>64</v>
      </c>
      <c r="G453" s="6" t="s">
        <v>69</v>
      </c>
      <c r="H453" s="6" t="s">
        <v>61</v>
      </c>
      <c r="I453" s="6">
        <v>10</v>
      </c>
      <c r="J453" s="6">
        <v>59335</v>
      </c>
      <c r="K453" s="6" t="s">
        <v>26</v>
      </c>
      <c r="L453" s="6">
        <v>4</v>
      </c>
      <c r="M453" s="6">
        <v>46</v>
      </c>
      <c r="N453" s="6">
        <v>8</v>
      </c>
      <c r="O453" s="6" t="s">
        <v>27</v>
      </c>
      <c r="P453" s="6" t="s">
        <v>28</v>
      </c>
      <c r="Q453" s="6">
        <v>1</v>
      </c>
      <c r="R453" s="6" t="s">
        <v>27</v>
      </c>
      <c r="S453" s="6" t="s">
        <v>27</v>
      </c>
    </row>
    <row r="454" spans="1:19" x14ac:dyDescent="0.35">
      <c r="A454" s="7" t="s">
        <v>970</v>
      </c>
      <c r="B454" s="5" t="s">
        <v>971</v>
      </c>
      <c r="C454" s="5" t="s">
        <v>31</v>
      </c>
      <c r="D454" s="5">
        <v>24</v>
      </c>
      <c r="E454" s="5" t="s">
        <v>22</v>
      </c>
      <c r="F454" s="5" t="s">
        <v>33</v>
      </c>
      <c r="G454" s="5" t="s">
        <v>24</v>
      </c>
      <c r="H454" s="5" t="s">
        <v>131</v>
      </c>
      <c r="I454" s="5">
        <v>1</v>
      </c>
      <c r="J454" s="5">
        <v>57769</v>
      </c>
      <c r="K454" s="5" t="s">
        <v>26</v>
      </c>
      <c r="L454" s="5">
        <v>1</v>
      </c>
      <c r="M454" s="5">
        <v>36</v>
      </c>
      <c r="N454" s="5">
        <v>4</v>
      </c>
      <c r="O454" s="5" t="s">
        <v>27</v>
      </c>
      <c r="P454" s="5" t="s">
        <v>28</v>
      </c>
      <c r="Q454" s="5">
        <v>2</v>
      </c>
      <c r="R454" s="5" t="s">
        <v>27</v>
      </c>
      <c r="S454" s="5" t="s">
        <v>28</v>
      </c>
    </row>
    <row r="455" spans="1:19" x14ac:dyDescent="0.35">
      <c r="A455" s="8" t="s">
        <v>972</v>
      </c>
      <c r="B455" s="6" t="s">
        <v>973</v>
      </c>
      <c r="C455" s="6" t="s">
        <v>31</v>
      </c>
      <c r="D455" s="6">
        <v>34</v>
      </c>
      <c r="E455" s="6" t="s">
        <v>32</v>
      </c>
      <c r="F455" s="6" t="s">
        <v>48</v>
      </c>
      <c r="G455" s="6" t="s">
        <v>24</v>
      </c>
      <c r="H455" s="6" t="s">
        <v>52</v>
      </c>
      <c r="I455" s="6">
        <v>5</v>
      </c>
      <c r="J455" s="6">
        <v>48144</v>
      </c>
      <c r="K455" s="6" t="s">
        <v>45</v>
      </c>
      <c r="L455" s="6">
        <v>8</v>
      </c>
      <c r="M455" s="6">
        <v>0</v>
      </c>
      <c r="N455" s="6">
        <v>8</v>
      </c>
      <c r="O455" s="6" t="s">
        <v>28</v>
      </c>
      <c r="P455" s="6" t="s">
        <v>27</v>
      </c>
      <c r="Q455" s="6">
        <v>4</v>
      </c>
      <c r="R455" s="6" t="s">
        <v>27</v>
      </c>
      <c r="S455" s="6" t="s">
        <v>27</v>
      </c>
    </row>
    <row r="456" spans="1:19" x14ac:dyDescent="0.35">
      <c r="A456" s="7" t="s">
        <v>974</v>
      </c>
      <c r="B456" s="5" t="s">
        <v>975</v>
      </c>
      <c r="C456" s="5" t="s">
        <v>21</v>
      </c>
      <c r="D456" s="5">
        <v>50</v>
      </c>
      <c r="E456" s="5" t="s">
        <v>55</v>
      </c>
      <c r="F456" s="5" t="s">
        <v>48</v>
      </c>
      <c r="G456" s="5" t="s">
        <v>24</v>
      </c>
      <c r="H456" s="5" t="s">
        <v>52</v>
      </c>
      <c r="I456" s="5">
        <v>14</v>
      </c>
      <c r="J456" s="5">
        <v>53210</v>
      </c>
      <c r="K456" s="5" t="s">
        <v>26</v>
      </c>
      <c r="L456" s="5">
        <v>6</v>
      </c>
      <c r="M456" s="5">
        <v>19</v>
      </c>
      <c r="N456" s="5">
        <v>7</v>
      </c>
      <c r="O456" s="5" t="s">
        <v>27</v>
      </c>
      <c r="P456" s="5" t="s">
        <v>28</v>
      </c>
      <c r="Q456" s="5">
        <v>2</v>
      </c>
      <c r="R456" s="5" t="s">
        <v>27</v>
      </c>
      <c r="S456" s="5" t="s">
        <v>27</v>
      </c>
    </row>
    <row r="457" spans="1:19" x14ac:dyDescent="0.35">
      <c r="A457" s="8" t="s">
        <v>976</v>
      </c>
      <c r="B457" s="6" t="s">
        <v>977</v>
      </c>
      <c r="C457" s="6" t="s">
        <v>21</v>
      </c>
      <c r="D457" s="6">
        <v>32</v>
      </c>
      <c r="E457" s="6" t="s">
        <v>32</v>
      </c>
      <c r="F457" s="6" t="s">
        <v>48</v>
      </c>
      <c r="G457" s="6" t="s">
        <v>24</v>
      </c>
      <c r="H457" s="6" t="s">
        <v>70</v>
      </c>
      <c r="I457" s="6">
        <v>8</v>
      </c>
      <c r="J457" s="6">
        <v>44199</v>
      </c>
      <c r="K457" s="6" t="s">
        <v>45</v>
      </c>
      <c r="L457" s="6">
        <v>6</v>
      </c>
      <c r="M457" s="6">
        <v>0</v>
      </c>
      <c r="N457" s="6">
        <v>2</v>
      </c>
      <c r="O457" s="6" t="s">
        <v>28</v>
      </c>
      <c r="P457" s="6" t="s">
        <v>28</v>
      </c>
      <c r="Q457" s="6">
        <v>3</v>
      </c>
      <c r="R457" s="6" t="s">
        <v>27</v>
      </c>
      <c r="S457" s="6" t="s">
        <v>27</v>
      </c>
    </row>
    <row r="458" spans="1:19" x14ac:dyDescent="0.35">
      <c r="A458" s="7" t="s">
        <v>978</v>
      </c>
      <c r="B458" s="5" t="s">
        <v>979</v>
      </c>
      <c r="C458" s="5" t="s">
        <v>31</v>
      </c>
      <c r="D458" s="5">
        <v>41</v>
      </c>
      <c r="E458" s="5" t="s">
        <v>22</v>
      </c>
      <c r="F458" s="5" t="s">
        <v>48</v>
      </c>
      <c r="G458" s="5" t="s">
        <v>69</v>
      </c>
      <c r="H458" s="5" t="s">
        <v>25</v>
      </c>
      <c r="I458" s="5">
        <v>16</v>
      </c>
      <c r="J458" s="5">
        <v>53627</v>
      </c>
      <c r="K458" s="5" t="s">
        <v>26</v>
      </c>
      <c r="L458" s="5">
        <v>10</v>
      </c>
      <c r="M458" s="5">
        <v>20</v>
      </c>
      <c r="N458" s="5">
        <v>3</v>
      </c>
      <c r="O458" s="5" t="s">
        <v>28</v>
      </c>
      <c r="P458" s="5" t="s">
        <v>28</v>
      </c>
      <c r="Q458" s="5">
        <v>1</v>
      </c>
      <c r="R458" s="5" t="s">
        <v>27</v>
      </c>
      <c r="S458" s="5" t="s">
        <v>27</v>
      </c>
    </row>
    <row r="459" spans="1:19" x14ac:dyDescent="0.35">
      <c r="A459" s="8" t="s">
        <v>980</v>
      </c>
      <c r="B459" s="6" t="s">
        <v>981</v>
      </c>
      <c r="C459" s="6" t="s">
        <v>21</v>
      </c>
      <c r="D459" s="6">
        <v>37</v>
      </c>
      <c r="E459" s="6" t="s">
        <v>38</v>
      </c>
      <c r="F459" s="6" t="s">
        <v>60</v>
      </c>
      <c r="G459" s="6" t="s">
        <v>24</v>
      </c>
      <c r="H459" s="6" t="s">
        <v>25</v>
      </c>
      <c r="I459" s="6">
        <v>10</v>
      </c>
      <c r="J459" s="6">
        <v>64502</v>
      </c>
      <c r="K459" s="6" t="s">
        <v>45</v>
      </c>
      <c r="L459" s="6">
        <v>5</v>
      </c>
      <c r="M459" s="6">
        <v>31</v>
      </c>
      <c r="N459" s="6">
        <v>1</v>
      </c>
      <c r="O459" s="6" t="s">
        <v>27</v>
      </c>
      <c r="P459" s="6" t="s">
        <v>27</v>
      </c>
      <c r="Q459" s="6">
        <v>5</v>
      </c>
      <c r="R459" s="6" t="s">
        <v>27</v>
      </c>
      <c r="S459" s="6" t="s">
        <v>28</v>
      </c>
    </row>
    <row r="460" spans="1:19" x14ac:dyDescent="0.35">
      <c r="A460" s="7" t="s">
        <v>982</v>
      </c>
      <c r="B460" s="5" t="s">
        <v>983</v>
      </c>
      <c r="C460" s="5" t="s">
        <v>21</v>
      </c>
      <c r="D460" s="5">
        <v>49</v>
      </c>
      <c r="E460" s="5" t="s">
        <v>38</v>
      </c>
      <c r="F460" s="5" t="s">
        <v>39</v>
      </c>
      <c r="G460" s="5" t="s">
        <v>24</v>
      </c>
      <c r="H460" s="5" t="s">
        <v>70</v>
      </c>
      <c r="I460" s="5">
        <v>17</v>
      </c>
      <c r="J460" s="5">
        <v>67527</v>
      </c>
      <c r="K460" s="5" t="s">
        <v>26</v>
      </c>
      <c r="L460" s="5">
        <v>5</v>
      </c>
      <c r="M460" s="5">
        <v>11</v>
      </c>
      <c r="N460" s="5">
        <v>3</v>
      </c>
      <c r="O460" s="5" t="s">
        <v>27</v>
      </c>
      <c r="P460" s="5" t="s">
        <v>27</v>
      </c>
      <c r="Q460" s="5">
        <v>5</v>
      </c>
      <c r="R460" s="5" t="s">
        <v>27</v>
      </c>
      <c r="S460" s="5" t="s">
        <v>27</v>
      </c>
    </row>
    <row r="461" spans="1:19" x14ac:dyDescent="0.35">
      <c r="A461" s="8" t="s">
        <v>984</v>
      </c>
      <c r="B461" s="6" t="s">
        <v>985</v>
      </c>
      <c r="C461" s="6" t="s">
        <v>31</v>
      </c>
      <c r="D461" s="6">
        <v>34</v>
      </c>
      <c r="E461" s="6" t="s">
        <v>32</v>
      </c>
      <c r="F461" s="6" t="s">
        <v>64</v>
      </c>
      <c r="G461" s="6" t="s">
        <v>24</v>
      </c>
      <c r="H461" s="6" t="s">
        <v>25</v>
      </c>
      <c r="I461" s="6">
        <v>7</v>
      </c>
      <c r="J461" s="6">
        <v>64817</v>
      </c>
      <c r="K461" s="6" t="s">
        <v>45</v>
      </c>
      <c r="L461" s="6">
        <v>9</v>
      </c>
      <c r="M461" s="6">
        <v>13</v>
      </c>
      <c r="N461" s="6">
        <v>5</v>
      </c>
      <c r="O461" s="6" t="s">
        <v>27</v>
      </c>
      <c r="P461" s="6" t="s">
        <v>27</v>
      </c>
      <c r="Q461" s="6">
        <v>3</v>
      </c>
      <c r="R461" s="6" t="s">
        <v>27</v>
      </c>
      <c r="S461" s="6" t="s">
        <v>27</v>
      </c>
    </row>
    <row r="462" spans="1:19" x14ac:dyDescent="0.35">
      <c r="A462" s="7" t="s">
        <v>986</v>
      </c>
      <c r="B462" s="5" t="s">
        <v>987</v>
      </c>
      <c r="C462" s="5" t="s">
        <v>31</v>
      </c>
      <c r="D462" s="5">
        <v>51</v>
      </c>
      <c r="E462" s="5" t="s">
        <v>38</v>
      </c>
      <c r="F462" s="5" t="s">
        <v>64</v>
      </c>
      <c r="G462" s="5" t="s">
        <v>24</v>
      </c>
      <c r="H462" s="5" t="s">
        <v>52</v>
      </c>
      <c r="I462" s="5">
        <v>12</v>
      </c>
      <c r="J462" s="5">
        <v>67803</v>
      </c>
      <c r="K462" s="5" t="s">
        <v>26</v>
      </c>
      <c r="L462" s="5">
        <v>3</v>
      </c>
      <c r="M462" s="5">
        <v>14</v>
      </c>
      <c r="N462" s="5">
        <v>0</v>
      </c>
      <c r="O462" s="5" t="s">
        <v>28</v>
      </c>
      <c r="P462" s="5" t="s">
        <v>28</v>
      </c>
      <c r="Q462" s="5">
        <v>3</v>
      </c>
      <c r="R462" s="5" t="s">
        <v>27</v>
      </c>
      <c r="S462" s="5" t="s">
        <v>27</v>
      </c>
    </row>
    <row r="463" spans="1:19" x14ac:dyDescent="0.35">
      <c r="A463" s="8" t="s">
        <v>988</v>
      </c>
      <c r="B463" s="6" t="s">
        <v>989</v>
      </c>
      <c r="C463" s="6" t="s">
        <v>21</v>
      </c>
      <c r="D463" s="6">
        <v>26</v>
      </c>
      <c r="E463" s="6" t="s">
        <v>32</v>
      </c>
      <c r="F463" s="6" t="s">
        <v>64</v>
      </c>
      <c r="G463" s="6" t="s">
        <v>24</v>
      </c>
      <c r="H463" s="6" t="s">
        <v>61</v>
      </c>
      <c r="I463" s="6">
        <v>3</v>
      </c>
      <c r="J463" s="6">
        <v>62259</v>
      </c>
      <c r="K463" s="6" t="s">
        <v>26</v>
      </c>
      <c r="L463" s="6">
        <v>2</v>
      </c>
      <c r="M463" s="6">
        <v>6</v>
      </c>
      <c r="N463" s="6">
        <v>4</v>
      </c>
      <c r="O463" s="6" t="s">
        <v>27</v>
      </c>
      <c r="P463" s="6" t="s">
        <v>28</v>
      </c>
      <c r="Q463" s="6">
        <v>3</v>
      </c>
      <c r="R463" s="6" t="s">
        <v>27</v>
      </c>
      <c r="S463" s="6" t="s">
        <v>27</v>
      </c>
    </row>
    <row r="464" spans="1:19" x14ac:dyDescent="0.35">
      <c r="A464" s="7" t="s">
        <v>990</v>
      </c>
      <c r="B464" s="5" t="s">
        <v>991</v>
      </c>
      <c r="C464" s="5" t="s">
        <v>31</v>
      </c>
      <c r="D464" s="5">
        <v>21</v>
      </c>
      <c r="E464" s="5" t="s">
        <v>38</v>
      </c>
      <c r="F464" s="5" t="s">
        <v>23</v>
      </c>
      <c r="G464" s="5" t="s">
        <v>69</v>
      </c>
      <c r="H464" s="5" t="s">
        <v>52</v>
      </c>
      <c r="I464" s="5">
        <v>0</v>
      </c>
      <c r="J464" s="5">
        <v>76019</v>
      </c>
      <c r="K464" s="5" t="s">
        <v>35</v>
      </c>
      <c r="L464" s="5">
        <v>9</v>
      </c>
      <c r="M464" s="5">
        <v>29</v>
      </c>
      <c r="N464" s="5">
        <v>5</v>
      </c>
      <c r="O464" s="5" t="s">
        <v>27</v>
      </c>
      <c r="P464" s="5" t="s">
        <v>28</v>
      </c>
      <c r="Q464" s="5">
        <v>4</v>
      </c>
      <c r="R464" s="5" t="s">
        <v>28</v>
      </c>
      <c r="S464" s="5" t="s">
        <v>27</v>
      </c>
    </row>
    <row r="465" spans="1:19" x14ac:dyDescent="0.35">
      <c r="A465" s="8" t="s">
        <v>992</v>
      </c>
      <c r="B465" s="6" t="s">
        <v>993</v>
      </c>
      <c r="C465" s="6" t="s">
        <v>31</v>
      </c>
      <c r="D465" s="6">
        <v>26</v>
      </c>
      <c r="E465" s="6" t="s">
        <v>55</v>
      </c>
      <c r="F465" s="6" t="s">
        <v>23</v>
      </c>
      <c r="G465" s="6" t="s">
        <v>44</v>
      </c>
      <c r="H465" s="6" t="s">
        <v>131</v>
      </c>
      <c r="I465" s="6">
        <v>4</v>
      </c>
      <c r="J465" s="6">
        <v>62544</v>
      </c>
      <c r="K465" s="6" t="s">
        <v>45</v>
      </c>
      <c r="L465" s="6">
        <v>9</v>
      </c>
      <c r="M465" s="6">
        <v>34</v>
      </c>
      <c r="N465" s="6">
        <v>1</v>
      </c>
      <c r="O465" s="6" t="s">
        <v>27</v>
      </c>
      <c r="P465" s="6" t="s">
        <v>28</v>
      </c>
      <c r="Q465" s="6">
        <v>3</v>
      </c>
      <c r="R465" s="6" t="s">
        <v>27</v>
      </c>
      <c r="S465" s="6" t="s">
        <v>27</v>
      </c>
    </row>
    <row r="466" spans="1:19" x14ac:dyDescent="0.35">
      <c r="A466" s="7" t="s">
        <v>994</v>
      </c>
      <c r="B466" s="5" t="s">
        <v>995</v>
      </c>
      <c r="C466" s="5" t="s">
        <v>21</v>
      </c>
      <c r="D466" s="5">
        <v>28</v>
      </c>
      <c r="E466" s="5" t="s">
        <v>55</v>
      </c>
      <c r="F466" s="5" t="s">
        <v>48</v>
      </c>
      <c r="G466" s="5" t="s">
        <v>24</v>
      </c>
      <c r="H466" s="5" t="s">
        <v>70</v>
      </c>
      <c r="I466" s="5">
        <v>4</v>
      </c>
      <c r="J466" s="5">
        <v>48979</v>
      </c>
      <c r="K466" s="5" t="s">
        <v>35</v>
      </c>
      <c r="L466" s="5">
        <v>1</v>
      </c>
      <c r="M466" s="5">
        <v>41</v>
      </c>
      <c r="N466" s="5">
        <v>4</v>
      </c>
      <c r="O466" s="5" t="s">
        <v>27</v>
      </c>
      <c r="P466" s="5" t="s">
        <v>27</v>
      </c>
      <c r="Q466" s="5">
        <v>4</v>
      </c>
      <c r="R466" s="5" t="s">
        <v>27</v>
      </c>
      <c r="S466" s="5" t="s">
        <v>27</v>
      </c>
    </row>
    <row r="467" spans="1:19" x14ac:dyDescent="0.35">
      <c r="A467" s="8" t="s">
        <v>996</v>
      </c>
      <c r="B467" s="6" t="s">
        <v>997</v>
      </c>
      <c r="C467" s="6" t="s">
        <v>31</v>
      </c>
      <c r="D467" s="6">
        <v>21</v>
      </c>
      <c r="E467" s="6" t="s">
        <v>55</v>
      </c>
      <c r="F467" s="6" t="s">
        <v>43</v>
      </c>
      <c r="G467" s="6" t="s">
        <v>24</v>
      </c>
      <c r="H467" s="6" t="s">
        <v>70</v>
      </c>
      <c r="I467" s="6">
        <v>0</v>
      </c>
      <c r="J467" s="6">
        <v>77362</v>
      </c>
      <c r="K467" s="6" t="s">
        <v>26</v>
      </c>
      <c r="L467" s="6">
        <v>4</v>
      </c>
      <c r="M467" s="6">
        <v>29</v>
      </c>
      <c r="N467" s="6">
        <v>6</v>
      </c>
      <c r="O467" s="6" t="s">
        <v>27</v>
      </c>
      <c r="P467" s="6" t="s">
        <v>28</v>
      </c>
      <c r="Q467" s="6">
        <v>1</v>
      </c>
      <c r="R467" s="6" t="s">
        <v>28</v>
      </c>
      <c r="S467" s="6" t="s">
        <v>27</v>
      </c>
    </row>
    <row r="468" spans="1:19" x14ac:dyDescent="0.35">
      <c r="A468" s="7" t="s">
        <v>998</v>
      </c>
      <c r="B468" s="5" t="s">
        <v>999</v>
      </c>
      <c r="C468" s="5" t="s">
        <v>21</v>
      </c>
      <c r="D468" s="5">
        <v>25</v>
      </c>
      <c r="E468" s="5" t="s">
        <v>55</v>
      </c>
      <c r="F468" s="5" t="s">
        <v>64</v>
      </c>
      <c r="G468" s="5" t="s">
        <v>44</v>
      </c>
      <c r="H468" s="5" t="s">
        <v>131</v>
      </c>
      <c r="I468" s="5">
        <v>2</v>
      </c>
      <c r="J468" s="5">
        <v>54314</v>
      </c>
      <c r="K468" s="5" t="s">
        <v>35</v>
      </c>
      <c r="L468" s="5">
        <v>9</v>
      </c>
      <c r="M468" s="5">
        <v>49</v>
      </c>
      <c r="N468" s="5">
        <v>2</v>
      </c>
      <c r="O468" s="5" t="s">
        <v>28</v>
      </c>
      <c r="P468" s="5" t="s">
        <v>28</v>
      </c>
      <c r="Q468" s="5">
        <v>1</v>
      </c>
      <c r="R468" s="5" t="s">
        <v>28</v>
      </c>
      <c r="S468" s="5" t="s">
        <v>27</v>
      </c>
    </row>
    <row r="469" spans="1:19" x14ac:dyDescent="0.35">
      <c r="A469" s="8" t="s">
        <v>1000</v>
      </c>
      <c r="B469" s="6" t="s">
        <v>1001</v>
      </c>
      <c r="C469" s="6" t="s">
        <v>31</v>
      </c>
      <c r="D469" s="6">
        <v>55</v>
      </c>
      <c r="E469" s="6" t="s">
        <v>55</v>
      </c>
      <c r="F469" s="6" t="s">
        <v>48</v>
      </c>
      <c r="G469" s="6" t="s">
        <v>24</v>
      </c>
      <c r="H469" s="6" t="s">
        <v>61</v>
      </c>
      <c r="I469" s="6">
        <v>14</v>
      </c>
      <c r="J469" s="6">
        <v>54085</v>
      </c>
      <c r="K469" s="6" t="s">
        <v>45</v>
      </c>
      <c r="L469" s="6">
        <v>1</v>
      </c>
      <c r="M469" s="6">
        <v>21</v>
      </c>
      <c r="N469" s="6">
        <v>4</v>
      </c>
      <c r="O469" s="6" t="s">
        <v>28</v>
      </c>
      <c r="P469" s="6" t="s">
        <v>27</v>
      </c>
      <c r="Q469" s="6">
        <v>1</v>
      </c>
      <c r="R469" s="6" t="s">
        <v>27</v>
      </c>
      <c r="S469" s="6" t="s">
        <v>27</v>
      </c>
    </row>
    <row r="470" spans="1:19" x14ac:dyDescent="0.35">
      <c r="A470" s="7" t="s">
        <v>1002</v>
      </c>
      <c r="B470" s="5" t="s">
        <v>1003</v>
      </c>
      <c r="C470" s="5" t="s">
        <v>21</v>
      </c>
      <c r="D470" s="5">
        <v>38</v>
      </c>
      <c r="E470" s="5" t="s">
        <v>55</v>
      </c>
      <c r="F470" s="5" t="s">
        <v>48</v>
      </c>
      <c r="G470" s="5" t="s">
        <v>24</v>
      </c>
      <c r="H470" s="5" t="s">
        <v>49</v>
      </c>
      <c r="I470" s="5">
        <v>11</v>
      </c>
      <c r="J470" s="5">
        <v>55642</v>
      </c>
      <c r="K470" s="5" t="s">
        <v>45</v>
      </c>
      <c r="L470" s="5">
        <v>1</v>
      </c>
      <c r="M470" s="5">
        <v>28</v>
      </c>
      <c r="N470" s="5">
        <v>3</v>
      </c>
      <c r="O470" s="5" t="s">
        <v>27</v>
      </c>
      <c r="P470" s="5" t="s">
        <v>28</v>
      </c>
      <c r="Q470" s="5">
        <v>4</v>
      </c>
      <c r="R470" s="5" t="s">
        <v>27</v>
      </c>
      <c r="S470" s="5" t="s">
        <v>27</v>
      </c>
    </row>
    <row r="471" spans="1:19" x14ac:dyDescent="0.35">
      <c r="A471" s="8" t="s">
        <v>1004</v>
      </c>
      <c r="B471" s="6" t="s">
        <v>1005</v>
      </c>
      <c r="C471" s="6" t="s">
        <v>31</v>
      </c>
      <c r="D471" s="6">
        <v>54</v>
      </c>
      <c r="E471" s="6" t="s">
        <v>55</v>
      </c>
      <c r="F471" s="6" t="s">
        <v>39</v>
      </c>
      <c r="G471" s="6" t="s">
        <v>24</v>
      </c>
      <c r="H471" s="6" t="s">
        <v>25</v>
      </c>
      <c r="I471" s="6">
        <v>12</v>
      </c>
      <c r="J471" s="6">
        <v>62345</v>
      </c>
      <c r="K471" s="6" t="s">
        <v>35</v>
      </c>
      <c r="L471" s="6">
        <v>1</v>
      </c>
      <c r="M471" s="6">
        <v>40</v>
      </c>
      <c r="N471" s="6">
        <v>4</v>
      </c>
      <c r="O471" s="6" t="s">
        <v>28</v>
      </c>
      <c r="P471" s="6" t="s">
        <v>27</v>
      </c>
      <c r="Q471" s="6">
        <v>5</v>
      </c>
      <c r="R471" s="6" t="s">
        <v>27</v>
      </c>
      <c r="S471" s="6" t="s">
        <v>27</v>
      </c>
    </row>
    <row r="472" spans="1:19" x14ac:dyDescent="0.35">
      <c r="A472" s="7" t="s">
        <v>1006</v>
      </c>
      <c r="B472" s="5" t="s">
        <v>1007</v>
      </c>
      <c r="C472" s="5" t="s">
        <v>21</v>
      </c>
      <c r="D472" s="5">
        <v>42</v>
      </c>
      <c r="E472" s="5" t="s">
        <v>55</v>
      </c>
      <c r="F472" s="5" t="s">
        <v>33</v>
      </c>
      <c r="G472" s="5" t="s">
        <v>24</v>
      </c>
      <c r="H472" s="5" t="s">
        <v>131</v>
      </c>
      <c r="I472" s="5">
        <v>10</v>
      </c>
      <c r="J472" s="5">
        <v>60760</v>
      </c>
      <c r="K472" s="5" t="s">
        <v>45</v>
      </c>
      <c r="L472" s="5">
        <v>3</v>
      </c>
      <c r="M472" s="5">
        <v>25</v>
      </c>
      <c r="N472" s="5">
        <v>5</v>
      </c>
      <c r="O472" s="5" t="s">
        <v>27</v>
      </c>
      <c r="P472" s="5" t="s">
        <v>27</v>
      </c>
      <c r="Q472" s="5">
        <v>5</v>
      </c>
      <c r="R472" s="5" t="s">
        <v>27</v>
      </c>
      <c r="S472" s="5" t="s">
        <v>27</v>
      </c>
    </row>
    <row r="473" spans="1:19" x14ac:dyDescent="0.35">
      <c r="A473" s="8" t="s">
        <v>1008</v>
      </c>
      <c r="B473" s="6" t="s">
        <v>1009</v>
      </c>
      <c r="C473" s="6" t="s">
        <v>31</v>
      </c>
      <c r="D473" s="6">
        <v>40</v>
      </c>
      <c r="E473" s="6" t="s">
        <v>55</v>
      </c>
      <c r="F473" s="6" t="s">
        <v>64</v>
      </c>
      <c r="G473" s="6" t="s">
        <v>69</v>
      </c>
      <c r="H473" s="6" t="s">
        <v>49</v>
      </c>
      <c r="I473" s="6">
        <v>8</v>
      </c>
      <c r="J473" s="6">
        <v>61395</v>
      </c>
      <c r="K473" s="6" t="s">
        <v>35</v>
      </c>
      <c r="L473" s="6">
        <v>1</v>
      </c>
      <c r="M473" s="6">
        <v>42</v>
      </c>
      <c r="N473" s="6">
        <v>4</v>
      </c>
      <c r="O473" s="6" t="s">
        <v>27</v>
      </c>
      <c r="P473" s="6" t="s">
        <v>28</v>
      </c>
      <c r="Q473" s="6">
        <v>5</v>
      </c>
      <c r="R473" s="6" t="s">
        <v>27</v>
      </c>
      <c r="S473" s="6" t="s">
        <v>27</v>
      </c>
    </row>
    <row r="474" spans="1:19" x14ac:dyDescent="0.35">
      <c r="A474" s="7" t="s">
        <v>1010</v>
      </c>
      <c r="B474" s="5" t="s">
        <v>1011</v>
      </c>
      <c r="C474" s="5" t="s">
        <v>31</v>
      </c>
      <c r="D474" s="5">
        <v>49</v>
      </c>
      <c r="E474" s="5" t="s">
        <v>38</v>
      </c>
      <c r="F474" s="5" t="s">
        <v>33</v>
      </c>
      <c r="G474" s="5" t="s">
        <v>24</v>
      </c>
      <c r="H474" s="5" t="s">
        <v>52</v>
      </c>
      <c r="I474" s="5">
        <v>15</v>
      </c>
      <c r="J474" s="5">
        <v>63681</v>
      </c>
      <c r="K474" s="5" t="s">
        <v>26</v>
      </c>
      <c r="L474" s="5">
        <v>3</v>
      </c>
      <c r="M474" s="5">
        <v>20</v>
      </c>
      <c r="N474" s="5">
        <v>3</v>
      </c>
      <c r="O474" s="5" t="s">
        <v>28</v>
      </c>
      <c r="P474" s="5" t="s">
        <v>28</v>
      </c>
      <c r="Q474" s="5">
        <v>2</v>
      </c>
      <c r="R474" s="5" t="s">
        <v>28</v>
      </c>
      <c r="S474" s="5" t="s">
        <v>27</v>
      </c>
    </row>
    <row r="475" spans="1:19" x14ac:dyDescent="0.35">
      <c r="A475" s="8" t="s">
        <v>1012</v>
      </c>
      <c r="B475" s="6" t="s">
        <v>1013</v>
      </c>
      <c r="C475" s="6" t="s">
        <v>21</v>
      </c>
      <c r="D475" s="6">
        <v>55</v>
      </c>
      <c r="E475" s="6" t="s">
        <v>32</v>
      </c>
      <c r="F475" s="6" t="s">
        <v>33</v>
      </c>
      <c r="G475" s="6" t="s">
        <v>44</v>
      </c>
      <c r="H475" s="6" t="s">
        <v>25</v>
      </c>
      <c r="I475" s="6">
        <v>17</v>
      </c>
      <c r="J475" s="6">
        <v>61451</v>
      </c>
      <c r="K475" s="6" t="s">
        <v>26</v>
      </c>
      <c r="L475" s="6">
        <v>5</v>
      </c>
      <c r="M475" s="6">
        <v>28</v>
      </c>
      <c r="N475" s="6">
        <v>2</v>
      </c>
      <c r="O475" s="6" t="s">
        <v>28</v>
      </c>
      <c r="P475" s="6" t="s">
        <v>28</v>
      </c>
      <c r="Q475" s="6">
        <v>4</v>
      </c>
      <c r="R475" s="6" t="s">
        <v>27</v>
      </c>
      <c r="S475" s="6" t="s">
        <v>27</v>
      </c>
    </row>
    <row r="476" spans="1:19" x14ac:dyDescent="0.35">
      <c r="A476" s="7" t="s">
        <v>1014</v>
      </c>
      <c r="B476" s="5" t="s">
        <v>1015</v>
      </c>
      <c r="C476" s="5" t="s">
        <v>21</v>
      </c>
      <c r="D476" s="5">
        <v>24</v>
      </c>
      <c r="E476" s="5" t="s">
        <v>22</v>
      </c>
      <c r="F476" s="5" t="s">
        <v>33</v>
      </c>
      <c r="G476" s="5" t="s">
        <v>24</v>
      </c>
      <c r="H476" s="5" t="s">
        <v>61</v>
      </c>
      <c r="I476" s="5">
        <v>2</v>
      </c>
      <c r="J476" s="5">
        <v>46959</v>
      </c>
      <c r="K476" s="5" t="s">
        <v>26</v>
      </c>
      <c r="L476" s="5">
        <v>2</v>
      </c>
      <c r="M476" s="5">
        <v>11</v>
      </c>
      <c r="N476" s="5">
        <v>2</v>
      </c>
      <c r="O476" s="5" t="s">
        <v>27</v>
      </c>
      <c r="P476" s="5" t="s">
        <v>28</v>
      </c>
      <c r="Q476" s="5">
        <v>2</v>
      </c>
      <c r="R476" s="5" t="s">
        <v>27</v>
      </c>
      <c r="S476" s="5" t="s">
        <v>27</v>
      </c>
    </row>
    <row r="477" spans="1:19" x14ac:dyDescent="0.35">
      <c r="A477" s="8" t="s">
        <v>1016</v>
      </c>
      <c r="B477" s="6" t="s">
        <v>1017</v>
      </c>
      <c r="C477" s="6" t="s">
        <v>21</v>
      </c>
      <c r="D477" s="6">
        <v>35</v>
      </c>
      <c r="E477" s="6" t="s">
        <v>38</v>
      </c>
      <c r="F477" s="6" t="s">
        <v>60</v>
      </c>
      <c r="G477" s="6" t="s">
        <v>24</v>
      </c>
      <c r="H477" s="6" t="s">
        <v>25</v>
      </c>
      <c r="I477" s="6">
        <v>9</v>
      </c>
      <c r="J477" s="6">
        <v>60160</v>
      </c>
      <c r="K477" s="6" t="s">
        <v>35</v>
      </c>
      <c r="L477" s="6">
        <v>9</v>
      </c>
      <c r="M477" s="6">
        <v>33</v>
      </c>
      <c r="N477" s="6">
        <v>6</v>
      </c>
      <c r="O477" s="6" t="s">
        <v>28</v>
      </c>
      <c r="P477" s="6" t="s">
        <v>28</v>
      </c>
      <c r="Q477" s="6">
        <v>3</v>
      </c>
      <c r="R477" s="6" t="s">
        <v>28</v>
      </c>
      <c r="S477" s="6" t="s">
        <v>27</v>
      </c>
    </row>
    <row r="478" spans="1:19" x14ac:dyDescent="0.35">
      <c r="A478" s="7" t="s">
        <v>1018</v>
      </c>
      <c r="B478" s="5" t="s">
        <v>1019</v>
      </c>
      <c r="C478" s="5" t="s">
        <v>21</v>
      </c>
      <c r="D478" s="5">
        <v>24</v>
      </c>
      <c r="E478" s="5" t="s">
        <v>55</v>
      </c>
      <c r="F478" s="5" t="s">
        <v>43</v>
      </c>
      <c r="G478" s="5" t="s">
        <v>69</v>
      </c>
      <c r="H478" s="5" t="s">
        <v>52</v>
      </c>
      <c r="I478" s="5">
        <v>2</v>
      </c>
      <c r="J478" s="5">
        <v>71532</v>
      </c>
      <c r="K478" s="5" t="s">
        <v>35</v>
      </c>
      <c r="L478" s="5">
        <v>8</v>
      </c>
      <c r="M478" s="5">
        <v>33</v>
      </c>
      <c r="N478" s="5">
        <v>3</v>
      </c>
      <c r="O478" s="5" t="s">
        <v>27</v>
      </c>
      <c r="P478" s="5" t="s">
        <v>28</v>
      </c>
      <c r="Q478" s="5">
        <v>4</v>
      </c>
      <c r="R478" s="5" t="s">
        <v>27</v>
      </c>
      <c r="S478" s="5" t="s">
        <v>27</v>
      </c>
    </row>
    <row r="479" spans="1:19" x14ac:dyDescent="0.35">
      <c r="A479" s="8" t="s">
        <v>1020</v>
      </c>
      <c r="B479" s="6" t="s">
        <v>1021</v>
      </c>
      <c r="C479" s="6" t="s">
        <v>31</v>
      </c>
      <c r="D479" s="6">
        <v>42</v>
      </c>
      <c r="E479" s="6" t="s">
        <v>55</v>
      </c>
      <c r="F479" s="6" t="s">
        <v>48</v>
      </c>
      <c r="G479" s="6" t="s">
        <v>24</v>
      </c>
      <c r="H479" s="6" t="s">
        <v>61</v>
      </c>
      <c r="I479" s="6">
        <v>9</v>
      </c>
      <c r="J479" s="6">
        <v>42438</v>
      </c>
      <c r="K479" s="6" t="s">
        <v>26</v>
      </c>
      <c r="L479" s="6">
        <v>10</v>
      </c>
      <c r="M479" s="6">
        <v>45</v>
      </c>
      <c r="N479" s="6">
        <v>5</v>
      </c>
      <c r="O479" s="6" t="s">
        <v>27</v>
      </c>
      <c r="P479" s="6" t="s">
        <v>28</v>
      </c>
      <c r="Q479" s="6">
        <v>3</v>
      </c>
      <c r="R479" s="6" t="s">
        <v>27</v>
      </c>
      <c r="S479" s="6" t="s">
        <v>27</v>
      </c>
    </row>
    <row r="480" spans="1:19" x14ac:dyDescent="0.35">
      <c r="A480" s="7" t="s">
        <v>1022</v>
      </c>
      <c r="B480" s="5" t="s">
        <v>1023</v>
      </c>
      <c r="C480" s="5" t="s">
        <v>21</v>
      </c>
      <c r="D480" s="5">
        <v>30</v>
      </c>
      <c r="E480" s="5" t="s">
        <v>38</v>
      </c>
      <c r="F480" s="5" t="s">
        <v>43</v>
      </c>
      <c r="G480" s="5" t="s">
        <v>69</v>
      </c>
      <c r="H480" s="5" t="s">
        <v>131</v>
      </c>
      <c r="I480" s="5">
        <v>6</v>
      </c>
      <c r="J480" s="5">
        <v>68186</v>
      </c>
      <c r="K480" s="5" t="s">
        <v>40</v>
      </c>
      <c r="L480" s="5">
        <v>2</v>
      </c>
      <c r="M480" s="5">
        <v>29</v>
      </c>
      <c r="N480" s="5">
        <v>3</v>
      </c>
      <c r="O480" s="5" t="s">
        <v>27</v>
      </c>
      <c r="P480" s="5" t="s">
        <v>27</v>
      </c>
      <c r="Q480" s="5">
        <v>1</v>
      </c>
      <c r="R480" s="5" t="s">
        <v>27</v>
      </c>
      <c r="S480" s="5" t="s">
        <v>27</v>
      </c>
    </row>
    <row r="481" spans="1:19" x14ac:dyDescent="0.35">
      <c r="A481" s="8" t="s">
        <v>1024</v>
      </c>
      <c r="B481" s="6" t="s">
        <v>1025</v>
      </c>
      <c r="C481" s="6" t="s">
        <v>21</v>
      </c>
      <c r="D481" s="6">
        <v>42</v>
      </c>
      <c r="E481" s="6" t="s">
        <v>32</v>
      </c>
      <c r="F481" s="6" t="s">
        <v>39</v>
      </c>
      <c r="G481" s="6" t="s">
        <v>24</v>
      </c>
      <c r="H481" s="6" t="s">
        <v>131</v>
      </c>
      <c r="I481" s="6">
        <v>13</v>
      </c>
      <c r="J481" s="6">
        <v>62514</v>
      </c>
      <c r="K481" s="6" t="s">
        <v>35</v>
      </c>
      <c r="L481" s="6">
        <v>6</v>
      </c>
      <c r="M481" s="6">
        <v>35</v>
      </c>
      <c r="N481" s="6">
        <v>4</v>
      </c>
      <c r="O481" s="6" t="s">
        <v>27</v>
      </c>
      <c r="P481" s="6" t="s">
        <v>28</v>
      </c>
      <c r="Q481" s="6">
        <v>5</v>
      </c>
      <c r="R481" s="6" t="s">
        <v>28</v>
      </c>
      <c r="S481" s="6" t="s">
        <v>27</v>
      </c>
    </row>
    <row r="482" spans="1:19" x14ac:dyDescent="0.35">
      <c r="A482" s="7" t="s">
        <v>1026</v>
      </c>
      <c r="B482" s="5" t="s">
        <v>1027</v>
      </c>
      <c r="C482" s="5" t="s">
        <v>21</v>
      </c>
      <c r="D482" s="5">
        <v>28</v>
      </c>
      <c r="E482" s="5" t="s">
        <v>55</v>
      </c>
      <c r="F482" s="5" t="s">
        <v>33</v>
      </c>
      <c r="G482" s="5" t="s">
        <v>69</v>
      </c>
      <c r="H482" s="5" t="s">
        <v>25</v>
      </c>
      <c r="I482" s="5">
        <v>4</v>
      </c>
      <c r="J482" s="5">
        <v>61028</v>
      </c>
      <c r="K482" s="5" t="s">
        <v>45</v>
      </c>
      <c r="L482" s="5">
        <v>3</v>
      </c>
      <c r="M482" s="5">
        <v>38</v>
      </c>
      <c r="N482" s="5">
        <v>6</v>
      </c>
      <c r="O482" s="5" t="s">
        <v>27</v>
      </c>
      <c r="P482" s="5" t="s">
        <v>27</v>
      </c>
      <c r="Q482" s="5">
        <v>1</v>
      </c>
      <c r="R482" s="5" t="s">
        <v>27</v>
      </c>
      <c r="S482" s="5" t="s">
        <v>27</v>
      </c>
    </row>
    <row r="483" spans="1:19" x14ac:dyDescent="0.35">
      <c r="A483" s="8" t="s">
        <v>1028</v>
      </c>
      <c r="B483" s="6" t="s">
        <v>1029</v>
      </c>
      <c r="C483" s="6" t="s">
        <v>31</v>
      </c>
      <c r="D483" s="6">
        <v>25</v>
      </c>
      <c r="E483" s="6" t="s">
        <v>55</v>
      </c>
      <c r="F483" s="6" t="s">
        <v>64</v>
      </c>
      <c r="G483" s="6" t="s">
        <v>24</v>
      </c>
      <c r="H483" s="6" t="s">
        <v>61</v>
      </c>
      <c r="I483" s="6">
        <v>2</v>
      </c>
      <c r="J483" s="6">
        <v>62573</v>
      </c>
      <c r="K483" s="6" t="s">
        <v>45</v>
      </c>
      <c r="L483" s="6">
        <v>7</v>
      </c>
      <c r="M483" s="6">
        <v>42</v>
      </c>
      <c r="N483" s="6">
        <v>7</v>
      </c>
      <c r="O483" s="6" t="s">
        <v>28</v>
      </c>
      <c r="P483" s="6" t="s">
        <v>28</v>
      </c>
      <c r="Q483" s="6">
        <v>3</v>
      </c>
      <c r="R483" s="6" t="s">
        <v>28</v>
      </c>
      <c r="S483" s="6" t="s">
        <v>28</v>
      </c>
    </row>
    <row r="484" spans="1:19" x14ac:dyDescent="0.35">
      <c r="A484" s="7" t="s">
        <v>1030</v>
      </c>
      <c r="B484" s="5" t="s">
        <v>1031</v>
      </c>
      <c r="C484" s="5" t="s">
        <v>21</v>
      </c>
      <c r="D484" s="5">
        <v>55</v>
      </c>
      <c r="E484" s="5" t="s">
        <v>22</v>
      </c>
      <c r="F484" s="5" t="s">
        <v>23</v>
      </c>
      <c r="G484" s="5" t="s">
        <v>69</v>
      </c>
      <c r="H484" s="5" t="s">
        <v>131</v>
      </c>
      <c r="I484" s="5">
        <v>19</v>
      </c>
      <c r="J484" s="5">
        <v>70128</v>
      </c>
      <c r="K484" s="5" t="s">
        <v>45</v>
      </c>
      <c r="L484" s="5">
        <v>4</v>
      </c>
      <c r="M484" s="5">
        <v>17</v>
      </c>
      <c r="N484" s="5">
        <v>2</v>
      </c>
      <c r="O484" s="5" t="s">
        <v>27</v>
      </c>
      <c r="P484" s="5" t="s">
        <v>27</v>
      </c>
      <c r="Q484" s="5">
        <v>1</v>
      </c>
      <c r="R484" s="5" t="s">
        <v>27</v>
      </c>
      <c r="S484" s="5" t="s">
        <v>27</v>
      </c>
    </row>
    <row r="485" spans="1:19" x14ac:dyDescent="0.35">
      <c r="A485" s="8" t="s">
        <v>1032</v>
      </c>
      <c r="B485" s="6" t="s">
        <v>1033</v>
      </c>
      <c r="C485" s="6" t="s">
        <v>21</v>
      </c>
      <c r="D485" s="6">
        <v>49</v>
      </c>
      <c r="E485" s="6" t="s">
        <v>55</v>
      </c>
      <c r="F485" s="6" t="s">
        <v>23</v>
      </c>
      <c r="G485" s="6" t="s">
        <v>24</v>
      </c>
      <c r="H485" s="6" t="s">
        <v>131</v>
      </c>
      <c r="I485" s="6">
        <v>16</v>
      </c>
      <c r="J485" s="6">
        <v>77288</v>
      </c>
      <c r="K485" s="6" t="s">
        <v>45</v>
      </c>
      <c r="L485" s="6">
        <v>5</v>
      </c>
      <c r="M485" s="6">
        <v>32</v>
      </c>
      <c r="N485" s="6">
        <v>2</v>
      </c>
      <c r="O485" s="6" t="s">
        <v>27</v>
      </c>
      <c r="P485" s="6" t="s">
        <v>27</v>
      </c>
      <c r="Q485" s="6">
        <v>5</v>
      </c>
      <c r="R485" s="6" t="s">
        <v>27</v>
      </c>
      <c r="S485" s="6" t="s">
        <v>27</v>
      </c>
    </row>
    <row r="486" spans="1:19" x14ac:dyDescent="0.35">
      <c r="A486" s="7" t="s">
        <v>1034</v>
      </c>
      <c r="B486" s="5" t="s">
        <v>1035</v>
      </c>
      <c r="C486" s="5" t="s">
        <v>31</v>
      </c>
      <c r="D486" s="5">
        <v>36</v>
      </c>
      <c r="E486" s="5" t="s">
        <v>55</v>
      </c>
      <c r="F486" s="5" t="s">
        <v>33</v>
      </c>
      <c r="G486" s="5" t="s">
        <v>24</v>
      </c>
      <c r="H486" s="5" t="s">
        <v>52</v>
      </c>
      <c r="I486" s="5">
        <v>10</v>
      </c>
      <c r="J486" s="5">
        <v>75327</v>
      </c>
      <c r="K486" s="5" t="s">
        <v>45</v>
      </c>
      <c r="L486" s="5">
        <v>2</v>
      </c>
      <c r="M486" s="5">
        <v>39</v>
      </c>
      <c r="N486" s="5">
        <v>2</v>
      </c>
      <c r="O486" s="5" t="s">
        <v>27</v>
      </c>
      <c r="P486" s="5" t="s">
        <v>28</v>
      </c>
      <c r="Q486" s="5">
        <v>5</v>
      </c>
      <c r="R486" s="5" t="s">
        <v>27</v>
      </c>
      <c r="S486" s="5" t="s">
        <v>27</v>
      </c>
    </row>
    <row r="487" spans="1:19" x14ac:dyDescent="0.35">
      <c r="A487" s="8" t="s">
        <v>1036</v>
      </c>
      <c r="B487" s="6" t="s">
        <v>1037</v>
      </c>
      <c r="C487" s="6" t="s">
        <v>31</v>
      </c>
      <c r="D487" s="6">
        <v>24</v>
      </c>
      <c r="E487" s="6" t="s">
        <v>55</v>
      </c>
      <c r="F487" s="6" t="s">
        <v>23</v>
      </c>
      <c r="G487" s="6" t="s">
        <v>44</v>
      </c>
      <c r="H487" s="6" t="s">
        <v>34</v>
      </c>
      <c r="I487" s="6">
        <v>1</v>
      </c>
      <c r="J487" s="6">
        <v>73496</v>
      </c>
      <c r="K487" s="6" t="s">
        <v>45</v>
      </c>
      <c r="L487" s="6">
        <v>5</v>
      </c>
      <c r="M487" s="6">
        <v>22</v>
      </c>
      <c r="N487" s="6">
        <v>5</v>
      </c>
      <c r="O487" s="6" t="s">
        <v>27</v>
      </c>
      <c r="P487" s="6" t="s">
        <v>27</v>
      </c>
      <c r="Q487" s="6">
        <v>2</v>
      </c>
      <c r="R487" s="6" t="s">
        <v>27</v>
      </c>
      <c r="S487" s="6" t="s">
        <v>27</v>
      </c>
    </row>
    <row r="488" spans="1:19" x14ac:dyDescent="0.35">
      <c r="A488" s="7" t="s">
        <v>1038</v>
      </c>
      <c r="B488" s="5" t="s">
        <v>1039</v>
      </c>
      <c r="C488" s="5" t="s">
        <v>31</v>
      </c>
      <c r="D488" s="5">
        <v>24</v>
      </c>
      <c r="E488" s="5" t="s">
        <v>55</v>
      </c>
      <c r="F488" s="5" t="s">
        <v>39</v>
      </c>
      <c r="G488" s="5" t="s">
        <v>24</v>
      </c>
      <c r="H488" s="5" t="s">
        <v>25</v>
      </c>
      <c r="I488" s="5">
        <v>1</v>
      </c>
      <c r="J488" s="5">
        <v>55822</v>
      </c>
      <c r="K488" s="5" t="s">
        <v>45</v>
      </c>
      <c r="L488" s="5">
        <v>6</v>
      </c>
      <c r="M488" s="5">
        <v>11</v>
      </c>
      <c r="N488" s="5">
        <v>1</v>
      </c>
      <c r="O488" s="5" t="s">
        <v>28</v>
      </c>
      <c r="P488" s="5" t="s">
        <v>28</v>
      </c>
      <c r="Q488" s="5">
        <v>5</v>
      </c>
      <c r="R488" s="5" t="s">
        <v>27</v>
      </c>
      <c r="S488" s="5" t="s">
        <v>28</v>
      </c>
    </row>
    <row r="489" spans="1:19" x14ac:dyDescent="0.35">
      <c r="A489" s="8" t="s">
        <v>1040</v>
      </c>
      <c r="B489" s="6" t="s">
        <v>1041</v>
      </c>
      <c r="C489" s="6" t="s">
        <v>31</v>
      </c>
      <c r="D489" s="6">
        <v>24</v>
      </c>
      <c r="E489" s="6" t="s">
        <v>22</v>
      </c>
      <c r="F489" s="6" t="s">
        <v>33</v>
      </c>
      <c r="G489" s="6" t="s">
        <v>24</v>
      </c>
      <c r="H489" s="6" t="s">
        <v>61</v>
      </c>
      <c r="I489" s="6">
        <v>2</v>
      </c>
      <c r="J489" s="6">
        <v>53060</v>
      </c>
      <c r="K489" s="6" t="s">
        <v>35</v>
      </c>
      <c r="L489" s="6">
        <v>9</v>
      </c>
      <c r="M489" s="6">
        <v>2</v>
      </c>
      <c r="N489" s="6">
        <v>6</v>
      </c>
      <c r="O489" s="6" t="s">
        <v>27</v>
      </c>
      <c r="P489" s="6" t="s">
        <v>28</v>
      </c>
      <c r="Q489" s="6">
        <v>3</v>
      </c>
      <c r="R489" s="6" t="s">
        <v>28</v>
      </c>
      <c r="S489" s="6" t="s">
        <v>27</v>
      </c>
    </row>
    <row r="490" spans="1:19" x14ac:dyDescent="0.35">
      <c r="A490" s="7" t="s">
        <v>1042</v>
      </c>
      <c r="B490" s="5" t="s">
        <v>1043</v>
      </c>
      <c r="C490" s="5" t="s">
        <v>21</v>
      </c>
      <c r="D490" s="5">
        <v>43</v>
      </c>
      <c r="E490" s="5" t="s">
        <v>38</v>
      </c>
      <c r="F490" s="5" t="s">
        <v>48</v>
      </c>
      <c r="G490" s="5" t="s">
        <v>24</v>
      </c>
      <c r="H490" s="5" t="s">
        <v>70</v>
      </c>
      <c r="I490" s="5">
        <v>12</v>
      </c>
      <c r="J490" s="5">
        <v>59554</v>
      </c>
      <c r="K490" s="5" t="s">
        <v>26</v>
      </c>
      <c r="L490" s="5">
        <v>8</v>
      </c>
      <c r="M490" s="5">
        <v>47</v>
      </c>
      <c r="N490" s="5">
        <v>6</v>
      </c>
      <c r="O490" s="5" t="s">
        <v>27</v>
      </c>
      <c r="P490" s="5" t="s">
        <v>28</v>
      </c>
      <c r="Q490" s="5">
        <v>4</v>
      </c>
      <c r="R490" s="5" t="s">
        <v>28</v>
      </c>
      <c r="S490" s="5" t="s">
        <v>28</v>
      </c>
    </row>
    <row r="491" spans="1:19" x14ac:dyDescent="0.35">
      <c r="A491" s="8" t="s">
        <v>1044</v>
      </c>
      <c r="B491" s="6" t="s">
        <v>1045</v>
      </c>
      <c r="C491" s="6" t="s">
        <v>31</v>
      </c>
      <c r="D491" s="6">
        <v>41</v>
      </c>
      <c r="E491" s="6" t="s">
        <v>32</v>
      </c>
      <c r="F491" s="6" t="s">
        <v>48</v>
      </c>
      <c r="G491" s="6" t="s">
        <v>24</v>
      </c>
      <c r="H491" s="6" t="s">
        <v>131</v>
      </c>
      <c r="I491" s="6">
        <v>13</v>
      </c>
      <c r="J491" s="6">
        <v>45219</v>
      </c>
      <c r="K491" s="6" t="s">
        <v>45</v>
      </c>
      <c r="L491" s="6">
        <v>9</v>
      </c>
      <c r="M491" s="6">
        <v>43</v>
      </c>
      <c r="N491" s="6">
        <v>2</v>
      </c>
      <c r="O491" s="6" t="s">
        <v>27</v>
      </c>
      <c r="P491" s="6" t="s">
        <v>28</v>
      </c>
      <c r="Q491" s="6">
        <v>3</v>
      </c>
      <c r="R491" s="6" t="s">
        <v>27</v>
      </c>
      <c r="S491" s="6" t="s">
        <v>27</v>
      </c>
    </row>
    <row r="492" spans="1:19" x14ac:dyDescent="0.35">
      <c r="A492" s="7" t="s">
        <v>1046</v>
      </c>
      <c r="B492" s="5" t="s">
        <v>1047</v>
      </c>
      <c r="C492" s="5" t="s">
        <v>31</v>
      </c>
      <c r="D492" s="5">
        <v>29</v>
      </c>
      <c r="E492" s="5" t="s">
        <v>38</v>
      </c>
      <c r="F492" s="5" t="s">
        <v>48</v>
      </c>
      <c r="G492" s="5" t="s">
        <v>24</v>
      </c>
      <c r="H492" s="5" t="s">
        <v>70</v>
      </c>
      <c r="I492" s="5">
        <v>6</v>
      </c>
      <c r="J492" s="5">
        <v>43886</v>
      </c>
      <c r="K492" s="5" t="s">
        <v>45</v>
      </c>
      <c r="L492" s="5">
        <v>4</v>
      </c>
      <c r="M492" s="5">
        <v>53</v>
      </c>
      <c r="N492" s="5">
        <v>4</v>
      </c>
      <c r="O492" s="5" t="s">
        <v>27</v>
      </c>
      <c r="P492" s="5" t="s">
        <v>27</v>
      </c>
      <c r="Q492" s="5">
        <v>1</v>
      </c>
      <c r="R492" s="5" t="s">
        <v>27</v>
      </c>
      <c r="S492" s="5" t="s">
        <v>27</v>
      </c>
    </row>
    <row r="493" spans="1:19" x14ac:dyDescent="0.35">
      <c r="A493" s="8" t="s">
        <v>1048</v>
      </c>
      <c r="B493" s="6" t="s">
        <v>1049</v>
      </c>
      <c r="C493" s="6" t="s">
        <v>31</v>
      </c>
      <c r="D493" s="6">
        <v>52</v>
      </c>
      <c r="E493" s="6" t="s">
        <v>55</v>
      </c>
      <c r="F493" s="6" t="s">
        <v>23</v>
      </c>
      <c r="G493" s="6" t="s">
        <v>69</v>
      </c>
      <c r="H493" s="6" t="s">
        <v>34</v>
      </c>
      <c r="I493" s="6">
        <v>18</v>
      </c>
      <c r="J493" s="6">
        <v>68944</v>
      </c>
      <c r="K493" s="6" t="s">
        <v>45</v>
      </c>
      <c r="L493" s="6">
        <v>2</v>
      </c>
      <c r="M493" s="6">
        <v>22</v>
      </c>
      <c r="N493" s="6">
        <v>5</v>
      </c>
      <c r="O493" s="6" t="s">
        <v>28</v>
      </c>
      <c r="P493" s="6" t="s">
        <v>28</v>
      </c>
      <c r="Q493" s="6">
        <v>1</v>
      </c>
      <c r="R493" s="6" t="s">
        <v>27</v>
      </c>
      <c r="S493" s="6" t="s">
        <v>28</v>
      </c>
    </row>
    <row r="494" spans="1:19" x14ac:dyDescent="0.35">
      <c r="A494" s="7" t="s">
        <v>1050</v>
      </c>
      <c r="B494" s="5" t="s">
        <v>1051</v>
      </c>
      <c r="C494" s="5" t="s">
        <v>31</v>
      </c>
      <c r="D494" s="5">
        <v>26</v>
      </c>
      <c r="E494" s="5" t="s">
        <v>38</v>
      </c>
      <c r="F494" s="5" t="s">
        <v>33</v>
      </c>
      <c r="G494" s="5" t="s">
        <v>69</v>
      </c>
      <c r="H494" s="5" t="s">
        <v>131</v>
      </c>
      <c r="I494" s="5">
        <v>3</v>
      </c>
      <c r="J494" s="5">
        <v>60703</v>
      </c>
      <c r="K494" s="5" t="s">
        <v>45</v>
      </c>
      <c r="L494" s="5">
        <v>6</v>
      </c>
      <c r="M494" s="5">
        <v>27</v>
      </c>
      <c r="N494" s="5">
        <v>0</v>
      </c>
      <c r="O494" s="5" t="s">
        <v>28</v>
      </c>
      <c r="P494" s="5" t="s">
        <v>27</v>
      </c>
      <c r="Q494" s="5">
        <v>2</v>
      </c>
      <c r="R494" s="5" t="s">
        <v>27</v>
      </c>
      <c r="S494" s="5" t="s">
        <v>27</v>
      </c>
    </row>
    <row r="495" spans="1:19" x14ac:dyDescent="0.35">
      <c r="A495" s="13" t="s">
        <v>1052</v>
      </c>
      <c r="B495" s="10" t="s">
        <v>1053</v>
      </c>
      <c r="C495" s="10" t="s">
        <v>31</v>
      </c>
      <c r="D495" s="10">
        <v>53</v>
      </c>
      <c r="E495" s="10" t="s">
        <v>55</v>
      </c>
      <c r="F495" s="10" t="s">
        <v>39</v>
      </c>
      <c r="G495" s="10" t="s">
        <v>24</v>
      </c>
      <c r="H495" s="10" t="s">
        <v>70</v>
      </c>
      <c r="I495" s="10">
        <v>21</v>
      </c>
      <c r="J495" s="10">
        <v>70982</v>
      </c>
      <c r="K495" s="10" t="s">
        <v>40</v>
      </c>
      <c r="L495" s="10">
        <v>4</v>
      </c>
      <c r="M495" s="10">
        <v>51</v>
      </c>
      <c r="N495" s="10">
        <v>4</v>
      </c>
      <c r="O495" s="10" t="s">
        <v>27</v>
      </c>
      <c r="P495" s="10" t="s">
        <v>27</v>
      </c>
      <c r="Q495" s="10">
        <v>1</v>
      </c>
      <c r="R495" s="10" t="s">
        <v>27</v>
      </c>
      <c r="S495" s="10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E32B-9609-4440-86E4-E78F306989B1}">
  <dimension ref="A25:C32"/>
  <sheetViews>
    <sheetView topLeftCell="A28" workbookViewId="0">
      <selection activeCell="A25" sqref="A25"/>
    </sheetView>
  </sheetViews>
  <sheetFormatPr defaultRowHeight="14.5" x14ac:dyDescent="0.35"/>
  <cols>
    <col min="1" max="1" width="16.26953125" bestFit="1" customWidth="1"/>
    <col min="2" max="2" width="8.453125" bestFit="1" customWidth="1"/>
    <col min="3" max="3" width="11.54296875" bestFit="1" customWidth="1"/>
  </cols>
  <sheetData>
    <row r="25" spans="1:3" x14ac:dyDescent="0.35">
      <c r="A25" t="s">
        <v>1093</v>
      </c>
    </row>
    <row r="27" spans="1:3" x14ac:dyDescent="0.35">
      <c r="A27" t="s">
        <v>1094</v>
      </c>
      <c r="B27" t="s">
        <v>1095</v>
      </c>
      <c r="C27" t="s">
        <v>1096</v>
      </c>
    </row>
    <row r="28" spans="1:3" ht="101.5" x14ac:dyDescent="0.35">
      <c r="A28" s="11" t="s">
        <v>1097</v>
      </c>
      <c r="B28" s="11" t="s">
        <v>1098</v>
      </c>
      <c r="C28" s="11" t="s">
        <v>1099</v>
      </c>
    </row>
    <row r="29" spans="1:3" ht="101.5" x14ac:dyDescent="0.35">
      <c r="A29" s="11" t="s">
        <v>1100</v>
      </c>
      <c r="B29" s="11">
        <v>2</v>
      </c>
      <c r="C29" s="11" t="s">
        <v>1101</v>
      </c>
    </row>
    <row r="30" spans="1:3" ht="101.5" x14ac:dyDescent="0.35">
      <c r="A30" s="11" t="s">
        <v>1102</v>
      </c>
      <c r="B30" s="11">
        <v>2</v>
      </c>
      <c r="C30" s="11" t="s">
        <v>1101</v>
      </c>
    </row>
    <row r="31" spans="1:3" ht="101.5" x14ac:dyDescent="0.35">
      <c r="A31" s="11" t="s">
        <v>1103</v>
      </c>
      <c r="B31" s="11">
        <v>1</v>
      </c>
      <c r="C31" s="11" t="s">
        <v>1101</v>
      </c>
    </row>
    <row r="32" spans="1:3" ht="101.5" x14ac:dyDescent="0.35">
      <c r="A32" s="11" t="s">
        <v>1104</v>
      </c>
      <c r="B32" s="11">
        <v>1</v>
      </c>
      <c r="C32" s="11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Reference</vt:lpstr>
      <vt:lpstr>Data_Dictionary</vt:lpstr>
      <vt:lpstr>Public_Use_Notes</vt:lpstr>
      <vt:lpstr>Clean_Data</vt:lpstr>
      <vt:lpstr>Final_Clean_Data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Rizwan Khan</cp:lastModifiedBy>
  <dcterms:created xsi:type="dcterms:W3CDTF">2026-10-07T08:27:38Z</dcterms:created>
  <dcterms:modified xsi:type="dcterms:W3CDTF">2026-10-07T16:28:38Z</dcterms:modified>
</cp:coreProperties>
</file>